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502b26cad947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7d455af8dfe04c2f"/>
    <x:sheet xmlns:r="http://schemas.openxmlformats.org/officeDocument/2006/relationships" name="对应表" sheetId="2" r:id="R53a968641e7f4a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Microsoft YaHei"/>
    </x:font>
    <x:font>
      <x:sz val="10"/>
      <x:color rgb="FF21332E"/>
      <x:name val="Microsoft YaHei"/>
    </x:font>
    <x:font>
      <x:b/>
      <x:sz val="11"/>
      <x:color rgb="FFFFFFFF"/>
      <x:name val="Microsoft YaHei"/>
    </x:font>
    <x:font>
      <x:sz val="11"/>
      <x:color rgb="FF21332E"/>
      <x:name val="Microsoft YaHei"/>
    </x:font>
    <x:font>
      <x:b/>
      <x:sz val="11"/>
      <x:color rgb="FF21332E"/>
      <x:name val="Microsoft YaHei"/>
    </x:font>
    <x:font>
      <x:b/>
      <x:sz val="10"/>
      <x:color rgb="FFFFFFFF"/>
      <x:name val="Microsoft YaHei"/>
    </x:font>
    <x:font>
      <x:sz val="9"/>
      <x:color rgb="FF21332E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1F6D5A"/>
      </x:patternFill>
    </x:fill>
    <x:fill>
      <x:patternFill patternType="solid">
        <x:fgColor rgb="FFE8F3EF"/>
      </x:patternFill>
    </x:fill>
    <x:fill>
      <x:patternFill patternType="solid">
        <x:fgColor rgb="FF4E8D7C"/>
      </x:patternFill>
    </x:fill>
    <x:fill>
      <x:patternFill patternType="solid">
        <x:fgColor rgb="FFF6FAF8"/>
      </x:patternFill>
    </x:fill>
  </x:fills>
  <x:borders count="2">
    <x:border/>
    <x:border>
      <x:left style="thin">
        <x:color rgb="FFC8D8D2"/>
      </x:left>
      <x:right style="thin">
        <x:color rgb="FFC8D8D2"/>
      </x:right>
      <x:top style="thin">
        <x:color rgb="FFC8D8D2"/>
      </x:top>
      <x:bottom style="thin">
        <x:color rgb="FFC8D8D2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5" borderId="1" xfId="0" applyNumberFormat="1" applyFont="1" applyFill="1" applyBorder="1"/>
    <x:xf numFmtId="0" fontId="5" fillId="5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horizontal="center" wrapText="1"/>
    </x:xf>
    <x:xf numFmtId="0" fontId="6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17603D"/>
      </x:font>
      <x:fill>
        <x:patternFill patternType="solid">
          <x:bgColor rgb="FFDDF2E6"/>
        </x:patternFill>
      </x:fill>
    </x:dxf>
    <x:dxf>
      <x:font>
        <x:b/>
        <x:color rgb="FF8A5A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cf8a3dfedb4527" /><Relationship Type="http://schemas.openxmlformats.org/officeDocument/2006/relationships/theme" Target="/xl/theme/theme1.xml" Id="Re07dd0ba904f4540" /><Relationship Type="http://schemas.openxmlformats.org/officeDocument/2006/relationships/sharedStrings" Target="/xl/sharedStrings.xml" Id="R539f2af4e38a4011" /><Relationship Type="http://schemas.openxmlformats.org/officeDocument/2006/relationships/worksheet" Target="/xl/worksheets/sheet1.xml" Id="R7d455af8dfe04c2f" /><Relationship Type="http://schemas.openxmlformats.org/officeDocument/2006/relationships/worksheet" Target="/xl/worksheets/sheet2.xml" Id="R53a968641e7f4a16" /></Relationships>
</file>

<file path=xl/tables/table1.xml><?xml version="1.0" encoding="utf-8"?>
<x:table xmlns:x="http://schemas.openxmlformats.org/spreadsheetml/2006/main" id="1" name="ObjectiveAlignmentTable" displayName="ObjectiveAlignmentTable" ref="A4:G240" headerRowCount="1" totalsRowCount="0" totalsRowShown="0">
  <x:autoFilter ref="A4:G240"/>
  <x:tableColumns count="7">
    <x:tableColumn id="1" name="课时编号"/>
    <x:tableColumn id="2" name="课题"/>
    <x:tableColumn id="3" name="目标序号"/>
    <x:tableColumn id="4" name="教学目标"/>
    <x:tableColumn id="5" name="对应检测"/>
    <x:tableColumn id="6" name="检测载体"/>
    <x:tableColumn id="7" name="一致性状态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a81922cd8254085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</x:cols>
  <x:sheetData>
    <x:row r="1" ht="34" customHeight="1">
      <x:c r="A1" s="4" t="str">
        <x:v>七年级下册课时目标与检测对应表</x:v>
      </x:c>
      <x:c r="B1" s="4"/>
      <x:c r="C1" s="4"/>
      <x:c r="D1" s="4"/>
      <x:c r="E1" s="4"/>
      <x:c r="F1" s="4"/>
    </x:row>
    <x:row r="2" ht="25" customHeight="1">
      <x:c r="A2" s="7" t="str">
        <x:v>全册 59 课时，每课 4 项可观察、可评价教学目标</x:v>
      </x:c>
      <x:c r="B2" s="7"/>
      <x:c r="C2" s="7"/>
      <x:c r="D2" s="7"/>
      <x:c r="E2" s="7"/>
      <x:c r="F2" s="7"/>
    </x:row>
    <x:row r="4">
      <x:c r="A4" s="11" t="str">
        <x:v>指标</x:v>
      </x:c>
      <x:c r="B4" s="11" t="str">
        <x:v>结果</x:v>
      </x:c>
    </x:row>
    <x:row r="5">
      <x:c r="A5" s="15" t="str">
        <x:v>全册课时数</x:v>
      </x:c>
      <x:c r="B5" s="16" t="n">
        <x:f>COUNTA('对应表'!A5:A240)/4</x:f>
        <x:v>59</x:v>
      </x:c>
    </x:row>
    <x:row r="6">
      <x:c r="A6" s="15" t="str">
        <x:v>教学目标条目</x:v>
      </x:c>
      <x:c r="B6" s="16" t="n">
        <x:f>COUNTA('对应表'!A5:A240)</x:f>
        <x:v>236</x:v>
      </x:c>
    </x:row>
    <x:row r="7">
      <x:c r="A7" s="15" t="str">
        <x:v>目标—检测对应通过</x:v>
      </x:c>
      <x:c r="B7" s="16" t="str">
        <x:f>COUNTIF('对应表'!G5:G240,"通过")&amp;" / "&amp;COUNTA('对应表'!G5:G240)</x:f>
        <x:v>236 / 236</x:v>
      </x:c>
    </x:row>
    <x:row r="8">
      <x:c r="A8" s="15" t="str">
        <x:v>检测载体</x:v>
      </x:c>
      <x:c r="B8" s="16" t="str">
        <x:v>学案Q题、练习、当堂检测、过程观察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6" hidden="0" customWidth="1"/>
    <x:col min="3" max="3" width="12" hidden="0" customWidth="1"/>
    <x:col min="4" max="4" width="68" hidden="0" customWidth="1"/>
    <x:col min="5" max="5" width="52" hidden="0" customWidth="1"/>
    <x:col min="6" max="6" width="42" hidden="0" customWidth="1"/>
    <x:col min="7" max="7" width="14" hidden="0" customWidth="1"/>
  </x:cols>
  <x:sheetData>
    <x:row r="1" ht="34" customHeight="1">
      <x:c r="A1" s="4" t="str">
        <x:v>教学目标—检测任务对应明细</x:v>
      </x:c>
      <x:c r="B1" s="4"/>
      <x:c r="C1" s="4"/>
      <x:c r="D1" s="4"/>
      <x:c r="E1" s="4"/>
      <x:c r="F1" s="4"/>
      <x:c r="G1" s="4"/>
    </x:row>
    <x:row r="2" ht="25" customHeight="1">
      <x:c r="A2" s="7" t="str">
        <x:v>目标、检测任务和评价阈值均来自各课时 lesson.yml</x:v>
      </x:c>
      <x:c r="B2" s="7"/>
      <x:c r="C2" s="7"/>
      <x:c r="D2" s="7"/>
      <x:c r="E2" s="7"/>
      <x:c r="F2" s="7"/>
      <x:c r="G2" s="7"/>
    </x:row>
    <x:row r="4" ht="32" customHeight="1">
      <x:c r="A4" s="21" t="str">
        <x:v>课时编号</x:v>
      </x:c>
      <x:c r="B4" s="21" t="str">
        <x:v>课题</x:v>
      </x:c>
      <x:c r="C4" s="21" t="str">
        <x:v>目标序号</x:v>
      </x:c>
      <x:c r="D4" s="21" t="str">
        <x:v>教学目标</x:v>
      </x:c>
      <x:c r="E4" s="21" t="str">
        <x:v>对应检测</x:v>
      </x:c>
      <x:c r="F4" s="21" t="str">
        <x:v>检测载体</x:v>
      </x:c>
      <x:c r="G4" s="21" t="str">
        <x:v>一致性状态</x:v>
      </x:c>
    </x:row>
    <x:row r="5" ht="42" customHeight="1">
      <x:c r="A5" s="25" t="str">
        <x:v>C07-L01</x:v>
      </x:c>
      <x:c r="B5" s="25" t="str">
        <x:v>相交线与对顶角</x:v>
      </x:c>
      <x:c r="C5" s="25" t="n">
        <x:v>1</x:v>
      </x:c>
      <x:c r="D5" s="25" t="str">
        <x:v>通过观察和标注相交线所成的四个角，说出邻补角、对顶角的定义，并能按位置关系正确识别。</x:v>
      </x:c>
      <x:c r="E5" s="25" t="str">
        <x:v>目标1：Q2、Q7共6分，达到5分视为达成。</x:v>
      </x:c>
      <x:c r="F5" s="25" t="str">
        <x:v>学案Q题、课堂练习、当堂检测与过程观察</x:v>
      </x:c>
      <x:c r="G5" s="25" t="str">
        <x:v>通过</x:v>
      </x:c>
    </x:row>
    <x:row r="6" ht="42" customHeight="1">
      <x:c r="A6" s="25" t="str">
        <x:v>C07-L01</x:v>
      </x:c>
      <x:c r="B6" s="25" t="str">
        <x:v>相交线与对顶角</x:v>
      </x:c>
      <x:c r="C6" s="25" t="n">
        <x:v>2</x:v>
      </x:c>
      <x:c r="D6" s="25" t="str">
        <x:v>借助补角的性质说明“对顶角相等”，能写出两步以内的推理依据。</x:v>
      </x:c>
      <x:c r="E6" s="25" t="str">
        <x:v>目标2：Q3、Q4中的推理依据共4分，达到3分视为达成。</x:v>
      </x:c>
      <x:c r="F6" s="25" t="str">
        <x:v>学案Q题、课堂练习、当堂检测与过程观察</x:v>
      </x:c>
      <x:c r="G6" s="25" t="str">
        <x:v>通过</x:v>
      </x:c>
    </x:row>
    <x:row r="7" ht="42" customHeight="1">
      <x:c r="A7" s="25" t="str">
        <x:v>C07-L01</x:v>
      </x:c>
      <x:c r="B7" s="25" t="str">
        <x:v>相交线与对顶角</x:v>
      </x:c>
      <x:c r="C7" s="25" t="n">
        <x:v>3</x:v>
      </x:c>
      <x:c r="D7" s="25" t="str">
        <x:v>已知相交线中一个角或相邻两角的数量关系，能计算其余角的度数并检验结果。</x:v>
      </x:c>
      <x:c r="E7" s="25" t="str">
        <x:v>目标3：Q5、Q6、Q8共11分，达到9分视为达成。</x:v>
      </x:c>
      <x:c r="F7" s="25" t="str">
        <x:v>学案Q题、课堂练习、当堂检测与过程观察</x:v>
      </x:c>
      <x:c r="G7" s="25" t="str">
        <x:v>通过</x:v>
      </x:c>
    </x:row>
    <x:row r="8" ht="42" customHeight="1">
      <x:c r="A8" s="25" t="str">
        <x:v>C07-L01</x:v>
      </x:c>
      <x:c r="B8" s="25" t="str">
        <x:v>相交线与对顶角</x:v>
      </x:c>
      <x:c r="C8" s="25" t="n">
        <x:v>4</x:v>
      </x:c>
      <x:c r="D8" s="25" t="str">
        <x:v>在转动木条、比较和交流中形成“先看位置、再用数量”的几何研究习惯。</x:v>
      </x:c>
      <x:c r="E8" s="25" t="str">
        <x:v>课堂观察：操作记录完整、能在小组交流中使用“公共边、反向延长线、对顶角相等”等关键词。</x:v>
      </x:c>
      <x:c r="F8" s="25" t="str">
        <x:v>学案Q题、课堂练习、当堂检测与过程观察</x:v>
      </x:c>
      <x:c r="G8" s="25" t="str">
        <x:v>通过</x:v>
      </x:c>
    </x:row>
    <x:row r="9" ht="42" customHeight="1">
      <x:c r="A9" s="25" t="str">
        <x:v>C07-L02</x:v>
      </x:c>
      <x:c r="B9" s="25" t="str">
        <x:v>垂线的概念与画法</x:v>
      </x:c>
      <x:c r="C9" s="25" t="n">
        <x:v>1</x:v>
      </x:c>
      <x:c r="D9" s="25" t="str">
        <x:v>通过阅读、观察或操作，准确说出垂直与垂线、垂足、过一点画已知直线的垂线的含义、表示或基本步骤。</x:v>
      </x:c>
      <x:c r="E9" s="25" t="str">
        <x:v>目标1：Q1、Q2共5分，达到4分视为达成。</x:v>
      </x:c>
      <x:c r="F9" s="25" t="str">
        <x:v>学案Q题、课堂练习、当堂检测与过程观察</x:v>
      </x:c>
      <x:c r="G9" s="25" t="str">
        <x:v>通过</x:v>
      </x:c>
    </x:row>
    <x:row r="10" ht="42" customHeight="1">
      <x:c r="A10" s="25" t="str">
        <x:v>C07-L02</x:v>
      </x:c>
      <x:c r="B10" s="25" t="str">
        <x:v>垂线的概念与画法</x:v>
      </x:c>
      <x:c r="C10" s="25" t="n">
        <x:v>2</x:v>
      </x:c>
      <x:c r="D10" s="25" t="str">
        <x:v>在Q2—Q4中运用“垂直的符号表示”，能用完整语言、式子、图形或图表说明依据。</x:v>
      </x:c>
      <x:c r="E10" s="25" t="str">
        <x:v>目标2：Q3、Q4共7分，达到5分视为达成。</x:v>
      </x:c>
      <x:c r="F10" s="25" t="str">
        <x:v>学案Q题、课堂练习、当堂检测与过程观察</x:v>
      </x:c>
      <x:c r="G10" s="25" t="str">
        <x:v>通过</x:v>
      </x:c>
    </x:row>
    <x:row r="11" ht="42" customHeight="1">
      <x:c r="A11" s="25" t="str">
        <x:v>C07-L02</x:v>
      </x:c>
      <x:c r="B11" s="25" t="str">
        <x:v>垂线的概念与画法</x:v>
      </x:c>
      <x:c r="C11" s="25" t="n">
        <x:v>3</x:v>
      </x:c>
      <x:c r="D11" s="25" t="str">
        <x:v>在基础与变式练习中运用“垂线基本事实与规范作图”解决同类问题，并对结果进行检验。</x:v>
      </x:c>
      <x:c r="E11" s="25" t="str">
        <x:v>目标3：Q5—Q8共14分，达到11分视为达成。</x:v>
      </x:c>
      <x:c r="F11" s="25" t="str">
        <x:v>学案Q题、课堂练习、当堂检测与过程观察</x:v>
      </x:c>
      <x:c r="G11" s="25" t="str">
        <x:v>通过</x:v>
      </x:c>
    </x:row>
    <x:row r="12" ht="42" customHeight="1">
      <x:c r="A12" s="25" t="str">
        <x:v>C07-L02</x:v>
      </x:c>
      <x:c r="B12" s="25" t="str">
        <x:v>垂线的概念与画法</x:v>
      </x:c>
      <x:c r="C12" s="25" t="n">
        <x:v>4</x:v>
      </x:c>
      <x:c r="D12" s="25" t="str">
        <x:v>在合作探究和互评中形成先审条件、再选方法、规范表达、主动复核的学习习惯。</x:v>
      </x:c>
      <x:c r="E12" s="25" t="str">
        <x:v>过程评价：记录完整、交流有依据、订正能说明错误原因。</x:v>
      </x:c>
      <x:c r="F12" s="25" t="str">
        <x:v>学案Q题、课堂练习、当堂检测与过程观察</x:v>
      </x:c>
      <x:c r="G12" s="25" t="str">
        <x:v>通过</x:v>
      </x:c>
    </x:row>
    <x:row r="13" ht="42" customHeight="1">
      <x:c r="A13" s="25" t="str">
        <x:v>C07-L03</x:v>
      </x:c>
      <x:c r="B13" s="25" t="str">
        <x:v>垂线段与点到直线的距离</x:v>
      </x:c>
      <x:c r="C13" s="25" t="n">
        <x:v>1</x:v>
      </x:c>
      <x:c r="D13" s="25" t="str">
        <x:v>通过阅读、观察或操作，准确说出垂线段最短、点到直线的距离的含义、表示或基本步骤。</x:v>
      </x:c>
      <x:c r="E13" s="25" t="str">
        <x:v>目标1：Q1、Q2共5分，达到4分视为达成。</x:v>
      </x:c>
      <x:c r="F13" s="25" t="str">
        <x:v>学案Q题、课堂练习、当堂检测与过程观察</x:v>
      </x:c>
      <x:c r="G13" s="25" t="str">
        <x:v>通过</x:v>
      </x:c>
    </x:row>
    <x:row r="14" ht="42" customHeight="1">
      <x:c r="A14" s="25" t="str">
        <x:v>C07-L03</x:v>
      </x:c>
      <x:c r="B14" s="25" t="str">
        <x:v>垂线段与点到直线的距离</x:v>
      </x:c>
      <x:c r="C14" s="25" t="n">
        <x:v>2</x:v>
      </x:c>
      <x:c r="D14" s="25" t="str">
        <x:v>在Q2—Q4中运用“用垂线段表示点到直线的距离”，能用完整语言、式子、图形或图表说明依据。</x:v>
      </x:c>
      <x:c r="E14" s="25" t="str">
        <x:v>目标2：Q3、Q4共7分，达到5分视为达成。</x:v>
      </x:c>
      <x:c r="F14" s="25" t="str">
        <x:v>学案Q题、课堂练习、当堂检测与过程观察</x:v>
      </x:c>
      <x:c r="G14" s="25" t="str">
        <x:v>通过</x:v>
      </x:c>
    </x:row>
    <x:row r="15" ht="42" customHeight="1">
      <x:c r="A15" s="25" t="str">
        <x:v>C07-L03</x:v>
      </x:c>
      <x:c r="B15" s="25" t="str">
        <x:v>垂线段与点到直线的距离</x:v>
      </x:c>
      <x:c r="C15" s="25" t="n">
        <x:v>3</x:v>
      </x:c>
      <x:c r="D15" s="25" t="str">
        <x:v>在基础与变式练习中运用“用垂线段表示点到直线的距离”解决同类问题，并对结果进行检验。</x:v>
      </x:c>
      <x:c r="E15" s="25" t="str">
        <x:v>目标3：Q5—Q8共14分，达到11分视为达成。</x:v>
      </x:c>
      <x:c r="F15" s="25" t="str">
        <x:v>学案Q题、课堂练习、当堂检测与过程观察</x:v>
      </x:c>
      <x:c r="G15" s="25" t="str">
        <x:v>通过</x:v>
      </x:c>
    </x:row>
    <x:row r="16" ht="42" customHeight="1">
      <x:c r="A16" s="25" t="str">
        <x:v>C07-L03</x:v>
      </x:c>
      <x:c r="B16" s="25" t="str">
        <x:v>垂线段与点到直线的距离</x:v>
      </x:c>
      <x:c r="C16" s="25" t="n">
        <x:v>4</x:v>
      </x:c>
      <x:c r="D16" s="25" t="str">
        <x:v>在合作探究和互评中形成先审条件、再选方法、规范表达、主动复核的学习习惯。</x:v>
      </x:c>
      <x:c r="E16" s="25" t="str">
        <x:v>过程评价：记录完整、交流有依据、订正能说明错误原因。</x:v>
      </x:c>
      <x:c r="F16" s="25" t="str">
        <x:v>学案Q题、课堂练习、当堂检测与过程观察</x:v>
      </x:c>
      <x:c r="G16" s="25" t="str">
        <x:v>通过</x:v>
      </x:c>
    </x:row>
    <x:row r="17" ht="42" customHeight="1">
      <x:c r="A17" s="25" t="str">
        <x:v>C07-L04</x:v>
      </x:c>
      <x:c r="B17" s="25" t="str">
        <x:v>两条直线被第三条直线所截</x:v>
      </x:c>
      <x:c r="C17" s="25" t="n">
        <x:v>1</x:v>
      </x:c>
      <x:c r="D17" s="25" t="str">
        <x:v>通过阅读、观察或操作，准确说出同位角、内错角、同旁内角、图形观察的含义、表示或基本步骤。</x:v>
      </x:c>
      <x:c r="E17" s="25" t="str">
        <x:v>目标1：Q1、Q2共5分，达到4分视为达成。</x:v>
      </x:c>
      <x:c r="F17" s="25" t="str">
        <x:v>学案Q题、课堂练习、当堂检测与过程观察</x:v>
      </x:c>
      <x:c r="G17" s="25" t="str">
        <x:v>通过</x:v>
      </x:c>
    </x:row>
    <x:row r="18" ht="42" customHeight="1">
      <x:c r="A18" s="25" t="str">
        <x:v>C07-L04</x:v>
      </x:c>
      <x:c r="B18" s="25" t="str">
        <x:v>两条直线被第三条直线所截</x:v>
      </x:c>
      <x:c r="C18" s="25" t="n">
        <x:v>2</x:v>
      </x:c>
      <x:c r="D18" s="25" t="str">
        <x:v>在Q2—Q4中运用“按位置识别三类角”，能用完整语言、式子、图形或图表说明依据。</x:v>
      </x:c>
      <x:c r="E18" s="25" t="str">
        <x:v>目标2：Q3、Q4共7分，达到5分视为达成。</x:v>
      </x:c>
      <x:c r="F18" s="25" t="str">
        <x:v>学案Q题、课堂练习、当堂检测与过程观察</x:v>
      </x:c>
      <x:c r="G18" s="25" t="str">
        <x:v>通过</x:v>
      </x:c>
    </x:row>
    <x:row r="19" ht="42" customHeight="1">
      <x:c r="A19" s="25" t="str">
        <x:v>C07-L04</x:v>
      </x:c>
      <x:c r="B19" s="25" t="str">
        <x:v>两条直线被第三条直线所截</x:v>
      </x:c>
      <x:c r="C19" s="25" t="n">
        <x:v>3</x:v>
      </x:c>
      <x:c r="D19" s="25" t="str">
        <x:v>在基础与变式练习中运用“按位置识别三类角”解决同类问题，并对结果进行检验。</x:v>
      </x:c>
      <x:c r="E19" s="25" t="str">
        <x:v>目标3：Q5—Q8共14分，达到11分视为达成。</x:v>
      </x:c>
      <x:c r="F19" s="25" t="str">
        <x:v>学案Q题、课堂练习、当堂检测与过程观察</x:v>
      </x:c>
      <x:c r="G19" s="25" t="str">
        <x:v>通过</x:v>
      </x:c>
    </x:row>
    <x:row r="20" ht="42" customHeight="1">
      <x:c r="A20" s="25" t="str">
        <x:v>C07-L04</x:v>
      </x:c>
      <x:c r="B20" s="25" t="str">
        <x:v>两条直线被第三条直线所截</x:v>
      </x:c>
      <x:c r="C20" s="25" t="n">
        <x:v>4</x:v>
      </x:c>
      <x:c r="D20" s="25" t="str">
        <x:v>在合作探究和互评中形成先审条件、再选方法、规范表达、主动复核的学习习惯。</x:v>
      </x:c>
      <x:c r="E20" s="25" t="str">
        <x:v>过程评价：记录完整、交流有依据、订正能说明错误原因。</x:v>
      </x:c>
      <x:c r="F20" s="25" t="str">
        <x:v>学案Q题、课堂练习、当堂检测与过程观察</x:v>
      </x:c>
      <x:c r="G20" s="25" t="str">
        <x:v>通过</x:v>
      </x:c>
    </x:row>
    <x:row r="21" ht="42" customHeight="1">
      <x:c r="A21" s="25" t="str">
        <x:v>C07-L05</x:v>
      </x:c>
      <x:c r="B21" s="25" t="str">
        <x:v>平行线与平行公理</x:v>
      </x:c>
      <x:c r="C21" s="25" t="n">
        <x:v>1</x:v>
      </x:c>
      <x:c r="D21" s="25" t="str">
        <x:v>通过阅读、观察或操作，准确说出平行线定义、平行线画法、平行公理及推论的含义、表示或基本步骤。</x:v>
      </x:c>
      <x:c r="E21" s="25" t="str">
        <x:v>目标1：Q1、Q2共5分，达到4分视为达成。</x:v>
      </x:c>
      <x:c r="F21" s="25" t="str">
        <x:v>学案Q题、课堂练习、当堂检测与过程观察</x:v>
      </x:c>
      <x:c r="G21" s="25" t="str">
        <x:v>通过</x:v>
      </x:c>
    </x:row>
    <x:row r="22" ht="42" customHeight="1">
      <x:c r="A22" s="25" t="str">
        <x:v>C07-L05</x:v>
      </x:c>
      <x:c r="B22" s="25" t="str">
        <x:v>平行线与平行公理</x:v>
      </x:c>
      <x:c r="C22" s="25" t="n">
        <x:v>2</x:v>
      </x:c>
      <x:c r="D22" s="25" t="str">
        <x:v>在Q2—Q4中运用“理解平行线基本事实并规范作图”，能用完整语言、式子、图形或图表说明依据。</x:v>
      </x:c>
      <x:c r="E22" s="25" t="str">
        <x:v>目标2：Q3、Q4共7分，达到5分视为达成。</x:v>
      </x:c>
      <x:c r="F22" s="25" t="str">
        <x:v>学案Q题、课堂练习、当堂检测与过程观察</x:v>
      </x:c>
      <x:c r="G22" s="25" t="str">
        <x:v>通过</x:v>
      </x:c>
    </x:row>
    <x:row r="23" ht="42" customHeight="1">
      <x:c r="A23" s="25" t="str">
        <x:v>C07-L05</x:v>
      </x:c>
      <x:c r="B23" s="25" t="str">
        <x:v>平行线与平行公理</x:v>
      </x:c>
      <x:c r="C23" s="25" t="n">
        <x:v>3</x:v>
      </x:c>
      <x:c r="D23" s="25" t="str">
        <x:v>在基础与变式练习中运用“理解平行线基本事实并规范作图”解决同类问题，并对结果进行检验。</x:v>
      </x:c>
      <x:c r="E23" s="25" t="str">
        <x:v>目标3：Q5—Q8共14分，达到11分视为达成。</x:v>
      </x:c>
      <x:c r="F23" s="25" t="str">
        <x:v>学案Q题、课堂练习、当堂检测与过程观察</x:v>
      </x:c>
      <x:c r="G23" s="25" t="str">
        <x:v>通过</x:v>
      </x:c>
    </x:row>
    <x:row r="24" ht="42" customHeight="1">
      <x:c r="A24" s="25" t="str">
        <x:v>C07-L05</x:v>
      </x:c>
      <x:c r="B24" s="25" t="str">
        <x:v>平行线与平行公理</x:v>
      </x:c>
      <x:c r="C24" s="25" t="n">
        <x:v>4</x:v>
      </x:c>
      <x:c r="D24" s="25" t="str">
        <x:v>在合作探究和互评中形成先审条件、再选方法、规范表达、主动复核的学习习惯。</x:v>
      </x:c>
      <x:c r="E24" s="25" t="str">
        <x:v>过程评价：记录完整、交流有依据、订正能说明错误原因。</x:v>
      </x:c>
      <x:c r="F24" s="25" t="str">
        <x:v>学案Q题、课堂练习、当堂检测与过程观察</x:v>
      </x:c>
      <x:c r="G24" s="25" t="str">
        <x:v>通过</x:v>
      </x:c>
    </x:row>
    <x:row r="25" ht="42" customHeight="1">
      <x:c r="A25" s="25" t="str">
        <x:v>C07-L06</x:v>
      </x:c>
      <x:c r="B25" s="25" t="str">
        <x:v>平行线的判定</x:v>
      </x:c>
      <x:c r="C25" s="25" t="n">
        <x:v>1</x:v>
      </x:c>
      <x:c r="D25" s="25" t="str">
        <x:v>通过阅读、观察或操作，准确说出同位角判定、内错角判定、同旁内角判定的含义、表示或基本步骤。</x:v>
      </x:c>
      <x:c r="E25" s="25" t="str">
        <x:v>目标1：Q1、Q2共5分，达到4分视为达成。</x:v>
      </x:c>
      <x:c r="F25" s="25" t="str">
        <x:v>学案Q题、课堂练习、当堂检测与过程观察</x:v>
      </x:c>
      <x:c r="G25" s="25" t="str">
        <x:v>通过</x:v>
      </x:c>
    </x:row>
    <x:row r="26" ht="42" customHeight="1">
      <x:c r="A26" s="25" t="str">
        <x:v>C07-L06</x:v>
      </x:c>
      <x:c r="B26" s="25" t="str">
        <x:v>平行线的判定</x:v>
      </x:c>
      <x:c r="C26" s="25" t="n">
        <x:v>2</x:v>
      </x:c>
      <x:c r="D26" s="25" t="str">
        <x:v>在Q2—Q4中运用“三种判定方法及依据”，能用完整语言、式子、图形或图表说明依据。</x:v>
      </x:c>
      <x:c r="E26" s="25" t="str">
        <x:v>目标2：Q3、Q4共7分，达到5分视为达成。</x:v>
      </x:c>
      <x:c r="F26" s="25" t="str">
        <x:v>学案Q题、课堂练习、当堂检测与过程观察</x:v>
      </x:c>
      <x:c r="G26" s="25" t="str">
        <x:v>通过</x:v>
      </x:c>
    </x:row>
    <x:row r="27" ht="42" customHeight="1">
      <x:c r="A27" s="25" t="str">
        <x:v>C07-L06</x:v>
      </x:c>
      <x:c r="B27" s="25" t="str">
        <x:v>平行线的判定</x:v>
      </x:c>
      <x:c r="C27" s="25" t="n">
        <x:v>3</x:v>
      </x:c>
      <x:c r="D27" s="25" t="str">
        <x:v>在基础与变式练习中运用“三种判定方法及依据”解决同类问题，并对结果进行检验。</x:v>
      </x:c>
      <x:c r="E27" s="25" t="str">
        <x:v>目标3：Q5—Q8共14分，达到11分视为达成。</x:v>
      </x:c>
      <x:c r="F27" s="25" t="str">
        <x:v>学案Q题、课堂练习、当堂检测与过程观察</x:v>
      </x:c>
      <x:c r="G27" s="25" t="str">
        <x:v>通过</x:v>
      </x:c>
    </x:row>
    <x:row r="28" ht="42" customHeight="1">
      <x:c r="A28" s="25" t="str">
        <x:v>C07-L06</x:v>
      </x:c>
      <x:c r="B28" s="25" t="str">
        <x:v>平行线的判定</x:v>
      </x:c>
      <x:c r="C28" s="25" t="n">
        <x:v>4</x:v>
      </x:c>
      <x:c r="D28" s="25" t="str">
        <x:v>在合作探究和互评中形成先审条件、再选方法、规范表达、主动复核的学习习惯。</x:v>
      </x:c>
      <x:c r="E28" s="25" t="str">
        <x:v>过程评价：记录完整、交流有依据、订正能说明错误原因。</x:v>
      </x:c>
      <x:c r="F28" s="25" t="str">
        <x:v>学案Q题、课堂练习、当堂检测与过程观察</x:v>
      </x:c>
      <x:c r="G28" s="25" t="str">
        <x:v>通过</x:v>
      </x:c>
    </x:row>
    <x:row r="29" ht="42" customHeight="1">
      <x:c r="A29" s="25" t="str">
        <x:v>C07-L07</x:v>
      </x:c>
      <x:c r="B29" s="25" t="str">
        <x:v>平行线的性质</x:v>
      </x:c>
      <x:c r="C29" s="25" t="n">
        <x:v>1</x:v>
      </x:c>
      <x:c r="D29" s="25" t="str">
        <x:v>通过阅读、观察或操作，准确说出平行线三条性质、性质与判定的区别的含义、表示或基本步骤。</x:v>
      </x:c>
      <x:c r="E29" s="25" t="str">
        <x:v>目标1：Q1、Q2共5分，达到4分视为达成。</x:v>
      </x:c>
      <x:c r="F29" s="25" t="str">
        <x:v>学案Q题、课堂练习、当堂检测与过程观察</x:v>
      </x:c>
      <x:c r="G29" s="25" t="str">
        <x:v>通过</x:v>
      </x:c>
    </x:row>
    <x:row r="30" ht="42" customHeight="1">
      <x:c r="A30" s="25" t="str">
        <x:v>C07-L07</x:v>
      </x:c>
      <x:c r="B30" s="25" t="str">
        <x:v>平行线的性质</x:v>
      </x:c>
      <x:c r="C30" s="25" t="n">
        <x:v>2</x:v>
      </x:c>
      <x:c r="D30" s="25" t="str">
        <x:v>在Q2—Q4中运用“由平行推出角关系”，能用完整语言、式子、图形或图表说明依据。</x:v>
      </x:c>
      <x:c r="E30" s="25" t="str">
        <x:v>目标2：Q3、Q4共7分，达到5分视为达成。</x:v>
      </x:c>
      <x:c r="F30" s="25" t="str">
        <x:v>学案Q题、课堂练习、当堂检测与过程观察</x:v>
      </x:c>
      <x:c r="G30" s="25" t="str">
        <x:v>通过</x:v>
      </x:c>
    </x:row>
    <x:row r="31" ht="42" customHeight="1">
      <x:c r="A31" s="25" t="str">
        <x:v>C07-L07</x:v>
      </x:c>
      <x:c r="B31" s="25" t="str">
        <x:v>平行线的性质</x:v>
      </x:c>
      <x:c r="C31" s="25" t="n">
        <x:v>3</x:v>
      </x:c>
      <x:c r="D31" s="25" t="str">
        <x:v>在基础与变式练习中运用“由平行推出角关系”解决同类问题，并对结果进行检验。</x:v>
      </x:c>
      <x:c r="E31" s="25" t="str">
        <x:v>目标3：Q5—Q8共14分，达到11分视为达成。</x:v>
      </x:c>
      <x:c r="F31" s="25" t="str">
        <x:v>学案Q题、课堂练习、当堂检测与过程观察</x:v>
      </x:c>
      <x:c r="G31" s="25" t="str">
        <x:v>通过</x:v>
      </x:c>
    </x:row>
    <x:row r="32" ht="42" customHeight="1">
      <x:c r="A32" s="25" t="str">
        <x:v>C07-L07</x:v>
      </x:c>
      <x:c r="B32" s="25" t="str">
        <x:v>平行线的性质</x:v>
      </x:c>
      <x:c r="C32" s="25" t="n">
        <x:v>4</x:v>
      </x:c>
      <x:c r="D32" s="25" t="str">
        <x:v>在合作探究和互评中形成先审条件、再选方法、规范表达、主动复核的学习习惯。</x:v>
      </x:c>
      <x:c r="E32" s="25" t="str">
        <x:v>过程评价：记录完整、交流有依据、订正能说明错误原因。</x:v>
      </x:c>
      <x:c r="F32" s="25" t="str">
        <x:v>学案Q题、课堂练习、当堂检测与过程观察</x:v>
      </x:c>
      <x:c r="G32" s="25" t="str">
        <x:v>通过</x:v>
      </x:c>
    </x:row>
    <x:row r="33" ht="42" customHeight="1">
      <x:c r="A33" s="25" t="str">
        <x:v>C07-L08</x:v>
      </x:c>
      <x:c r="B33" s="25" t="str">
        <x:v>平行线的判定与性质综合</x:v>
      </x:c>
      <x:c r="C33" s="25" t="n">
        <x:v>1</x:v>
      </x:c>
      <x:c r="D33" s="25" t="str">
        <x:v>通过阅读、观察或操作，准确说出判定与性质综合、几何语言与推理链的含义、表示或基本步骤。</x:v>
      </x:c>
      <x:c r="E33" s="25" t="str">
        <x:v>目标1：Q1、Q2共5分，达到4分视为达成。</x:v>
      </x:c>
      <x:c r="F33" s="25" t="str">
        <x:v>学案Q题、课堂练习、当堂检测与过程观察</x:v>
      </x:c>
      <x:c r="G33" s="25" t="str">
        <x:v>通过</x:v>
      </x:c>
    </x:row>
    <x:row r="34" ht="42" customHeight="1">
      <x:c r="A34" s="25" t="str">
        <x:v>C07-L08</x:v>
      </x:c>
      <x:c r="B34" s="25" t="str">
        <x:v>平行线的判定与性质综合</x:v>
      </x:c>
      <x:c r="C34" s="25" t="n">
        <x:v>2</x:v>
      </x:c>
      <x:c r="D34" s="25" t="str">
        <x:v>在Q2—Q4中运用“按已知和所求选择依据”，能用完整语言、式子、图形或图表说明依据。</x:v>
      </x:c>
      <x:c r="E34" s="25" t="str">
        <x:v>目标2：Q3、Q4共7分，达到5分视为达成。</x:v>
      </x:c>
      <x:c r="F34" s="25" t="str">
        <x:v>学案Q题、课堂练习、当堂检测与过程观察</x:v>
      </x:c>
      <x:c r="G34" s="25" t="str">
        <x:v>通过</x:v>
      </x:c>
    </x:row>
    <x:row r="35" ht="42" customHeight="1">
      <x:c r="A35" s="25" t="str">
        <x:v>C07-L08</x:v>
      </x:c>
      <x:c r="B35" s="25" t="str">
        <x:v>平行线的判定与性质综合</x:v>
      </x:c>
      <x:c r="C35" s="25" t="n">
        <x:v>3</x:v>
      </x:c>
      <x:c r="D35" s="25" t="str">
        <x:v>在基础与变式练习中运用“按已知和所求选择依据”解决同类问题，并对结果进行检验。</x:v>
      </x:c>
      <x:c r="E35" s="25" t="str">
        <x:v>目标3：Q5—Q8共14分，达到11分视为达成。</x:v>
      </x:c>
      <x:c r="F35" s="25" t="str">
        <x:v>学案Q题、课堂练习、当堂检测与过程观察</x:v>
      </x:c>
      <x:c r="G35" s="25" t="str">
        <x:v>通过</x:v>
      </x:c>
    </x:row>
    <x:row r="36" ht="42" customHeight="1">
      <x:c r="A36" s="25" t="str">
        <x:v>C07-L08</x:v>
      </x:c>
      <x:c r="B36" s="25" t="str">
        <x:v>平行线的判定与性质综合</x:v>
      </x:c>
      <x:c r="C36" s="25" t="n">
        <x:v>4</x:v>
      </x:c>
      <x:c r="D36" s="25" t="str">
        <x:v>在合作探究和互评中形成先审条件、再选方法、规范表达、主动复核的学习习惯。</x:v>
      </x:c>
      <x:c r="E36" s="25" t="str">
        <x:v>过程评价：记录完整、交流有依据、订正能说明错误原因。</x:v>
      </x:c>
      <x:c r="F36" s="25" t="str">
        <x:v>学案Q题、课堂练习、当堂检测与过程观察</x:v>
      </x:c>
      <x:c r="G36" s="25" t="str">
        <x:v>通过</x:v>
      </x:c>
    </x:row>
    <x:row r="37" ht="42" customHeight="1">
      <x:c r="A37" s="25" t="str">
        <x:v>C07-L09</x:v>
      </x:c>
      <x:c r="B37" s="25" t="str">
        <x:v>定义、命题、定理</x:v>
      </x:c>
      <x:c r="C37" s="25" t="n">
        <x:v>1</x:v>
      </x:c>
      <x:c r="D37" s="25" t="str">
        <x:v>通过阅读、观察或操作，准确说出定义、命题的题设与结论、真命题和假命题、定理与证明、反例的含义、表示或基本步骤。</x:v>
      </x:c>
      <x:c r="E37" s="25" t="str">
        <x:v>目标1：Q1、Q2共5分，达到4分视为达成。</x:v>
      </x:c>
      <x:c r="F37" s="25" t="str">
        <x:v>学案Q题、课堂练习、当堂检测与过程观察</x:v>
      </x:c>
      <x:c r="G37" s="25" t="str">
        <x:v>通过</x:v>
      </x:c>
    </x:row>
    <x:row r="38" ht="42" customHeight="1">
      <x:c r="A38" s="25" t="str">
        <x:v>C07-L09</x:v>
      </x:c>
      <x:c r="B38" s="25" t="str">
        <x:v>定义、命题、定理</x:v>
      </x:c>
      <x:c r="C38" s="25" t="n">
        <x:v>2</x:v>
      </x:c>
      <x:c r="D38" s="25" t="str">
        <x:v>在Q2—Q4中运用“把命题改写为“如果…那么…”并识别题设结论”，能用完整语言、式子、图形或图表说明依据。</x:v>
      </x:c>
      <x:c r="E38" s="25" t="str">
        <x:v>目标2：Q3、Q4共7分，达到5分视为达成。</x:v>
      </x:c>
      <x:c r="F38" s="25" t="str">
        <x:v>学案Q题、课堂练习、当堂检测与过程观察</x:v>
      </x:c>
      <x:c r="G38" s="25" t="str">
        <x:v>通过</x:v>
      </x:c>
    </x:row>
    <x:row r="39" ht="42" customHeight="1">
      <x:c r="A39" s="25" t="str">
        <x:v>C07-L09</x:v>
      </x:c>
      <x:c r="B39" s="25" t="str">
        <x:v>定义、命题、定理</x:v>
      </x:c>
      <x:c r="C39" s="25" t="n">
        <x:v>3</x:v>
      </x:c>
      <x:c r="D39" s="25" t="str">
        <x:v>在基础与变式练习中运用“把命题改写为“如果…那么…”并识别题设结论”解决同类问题，并对结果进行检验。</x:v>
      </x:c>
      <x:c r="E39" s="25" t="str">
        <x:v>目标3：Q5—Q8共14分，达到11分视为达成。</x:v>
      </x:c>
      <x:c r="F39" s="25" t="str">
        <x:v>学案Q题、课堂练习、当堂检测与过程观察</x:v>
      </x:c>
      <x:c r="G39" s="25" t="str">
        <x:v>通过</x:v>
      </x:c>
    </x:row>
    <x:row r="40" ht="42" customHeight="1">
      <x:c r="A40" s="25" t="str">
        <x:v>C07-L09</x:v>
      </x:c>
      <x:c r="B40" s="25" t="str">
        <x:v>定义、命题、定理</x:v>
      </x:c>
      <x:c r="C40" s="25" t="n">
        <x:v>4</x:v>
      </x:c>
      <x:c r="D40" s="25" t="str">
        <x:v>在合作探究和互评中形成先审条件、再选方法、规范表达、主动复核的学习习惯。</x:v>
      </x:c>
      <x:c r="E40" s="25" t="str">
        <x:v>过程评价：记录完整、交流有依据、订正能说明错误原因。</x:v>
      </x:c>
      <x:c r="F40" s="25" t="str">
        <x:v>学案Q题、课堂练习、当堂检测与过程观察</x:v>
      </x:c>
      <x:c r="G40" s="25" t="str">
        <x:v>通过</x:v>
      </x:c>
    </x:row>
    <x:row r="41" ht="42" customHeight="1">
      <x:c r="A41" s="25" t="str">
        <x:v>C07-L10</x:v>
      </x:c>
      <x:c r="B41" s="25" t="str">
        <x:v>平移的概念、性质与作图</x:v>
      </x:c>
      <x:c r="C41" s="25" t="n">
        <x:v>1</x:v>
      </x:c>
      <x:c r="D41" s="25" t="str">
        <x:v>通过阅读、观察或操作，准确说出平移、对应点与对应线段、平移性质、平移作图的含义、表示或基本步骤。</x:v>
      </x:c>
      <x:c r="E41" s="25" t="str">
        <x:v>目标1：Q1、Q2共5分，达到4分视为达成。</x:v>
      </x:c>
      <x:c r="F41" s="25" t="str">
        <x:v>学案Q题、课堂练习、当堂检测与过程观察</x:v>
      </x:c>
      <x:c r="G41" s="25" t="str">
        <x:v>通过</x:v>
      </x:c>
    </x:row>
    <x:row r="42" ht="42" customHeight="1">
      <x:c r="A42" s="25" t="str">
        <x:v>C07-L10</x:v>
      </x:c>
      <x:c r="B42" s="25" t="str">
        <x:v>平移的概念、性质与作图</x:v>
      </x:c>
      <x:c r="C42" s="25" t="n">
        <x:v>2</x:v>
      </x:c>
      <x:c r="D42" s="25" t="str">
        <x:v>在Q2—Q4中运用“根据方向和距离作平移图形”，能用完整语言、式子、图形或图表说明依据。</x:v>
      </x:c>
      <x:c r="E42" s="25" t="str">
        <x:v>目标2：Q3、Q4共7分，达到5分视为达成。</x:v>
      </x:c>
      <x:c r="F42" s="25" t="str">
        <x:v>学案Q题、课堂练习、当堂检测与过程观察</x:v>
      </x:c>
      <x:c r="G42" s="25" t="str">
        <x:v>通过</x:v>
      </x:c>
    </x:row>
    <x:row r="43" ht="42" customHeight="1">
      <x:c r="A43" s="25" t="str">
        <x:v>C07-L10</x:v>
      </x:c>
      <x:c r="B43" s="25" t="str">
        <x:v>平移的概念、性质与作图</x:v>
      </x:c>
      <x:c r="C43" s="25" t="n">
        <x:v>3</x:v>
      </x:c>
      <x:c r="D43" s="25" t="str">
        <x:v>在基础与变式练习中运用“根据方向和距离作平移图形”解决同类问题，并对结果进行检验。</x:v>
      </x:c>
      <x:c r="E43" s="25" t="str">
        <x:v>目标3：Q5—Q8共14分，达到11分视为达成。</x:v>
      </x:c>
      <x:c r="F43" s="25" t="str">
        <x:v>学案Q题、课堂练习、当堂检测与过程观察</x:v>
      </x:c>
      <x:c r="G43" s="25" t="str">
        <x:v>通过</x:v>
      </x:c>
    </x:row>
    <x:row r="44" ht="42" customHeight="1">
      <x:c r="A44" s="25" t="str">
        <x:v>C07-L10</x:v>
      </x:c>
      <x:c r="B44" s="25" t="str">
        <x:v>平移的概念、性质与作图</x:v>
      </x:c>
      <x:c r="C44" s="25" t="n">
        <x:v>4</x:v>
      </x:c>
      <x:c r="D44" s="25" t="str">
        <x:v>在合作探究和互评中形成先审条件、再选方法、规范表达、主动复核的学习习惯。</x:v>
      </x:c>
      <x:c r="E44" s="25" t="str">
        <x:v>过程评价：记录完整、交流有依据、订正能说明错误原因。</x:v>
      </x:c>
      <x:c r="F44" s="25" t="str">
        <x:v>学案Q题、课堂练习、当堂检测与过程观察</x:v>
      </x:c>
      <x:c r="G44" s="25" t="str">
        <x:v>通过</x:v>
      </x:c>
    </x:row>
    <x:row r="45" ht="42" customHeight="1">
      <x:c r="A45" s="25" t="str">
        <x:v>C07-L11</x:v>
      </x:c>
      <x:c r="B45" s="25" t="str">
        <x:v>利用平移设计图案</x:v>
      </x:c>
      <x:c r="C45" s="25" t="n">
        <x:v>1</x:v>
      </x:c>
      <x:c r="D45" s="25" t="str">
        <x:v>通过阅读、观察或操作，准确说出基本图形、连续平移、图案设计的含义、表示或基本步骤。</x:v>
      </x:c>
      <x:c r="E45" s="25" t="str">
        <x:v>目标1：Q1、Q2共5分，达到4分视为达成。</x:v>
      </x:c>
      <x:c r="F45" s="25" t="str">
        <x:v>学案Q题、课堂练习、当堂检测与过程观察</x:v>
      </x:c>
      <x:c r="G45" s="25" t="str">
        <x:v>通过</x:v>
      </x:c>
    </x:row>
    <x:row r="46" ht="42" customHeight="1">
      <x:c r="A46" s="25" t="str">
        <x:v>C07-L11</x:v>
      </x:c>
      <x:c r="B46" s="25" t="str">
        <x:v>利用平移设计图案</x:v>
      </x:c>
      <x:c r="C46" s="25" t="n">
        <x:v>2</x:v>
      </x:c>
      <x:c r="D46" s="25" t="str">
        <x:v>在Q2—Q4中运用“选择基本图形并设计平移序列”，能用完整语言、式子、图形或图表说明依据。</x:v>
      </x:c>
      <x:c r="E46" s="25" t="str">
        <x:v>目标2：Q3、Q4共7分，达到5分视为达成。</x:v>
      </x:c>
      <x:c r="F46" s="25" t="str">
        <x:v>学案Q题、课堂练习、当堂检测与过程观察</x:v>
      </x:c>
      <x:c r="G46" s="25" t="str">
        <x:v>通过</x:v>
      </x:c>
    </x:row>
    <x:row r="47" ht="42" customHeight="1">
      <x:c r="A47" s="25" t="str">
        <x:v>C07-L11</x:v>
      </x:c>
      <x:c r="B47" s="25" t="str">
        <x:v>利用平移设计图案</x:v>
      </x:c>
      <x:c r="C47" s="25" t="n">
        <x:v>3</x:v>
      </x:c>
      <x:c r="D47" s="25" t="str">
        <x:v>在基础与变式练习中运用“选择基本图形并设计平移序列”解决同类问题，并对结果进行检验。</x:v>
      </x:c>
      <x:c r="E47" s="25" t="str">
        <x:v>目标3：Q5—Q8共14分，达到11分视为达成。</x:v>
      </x:c>
      <x:c r="F47" s="25" t="str">
        <x:v>学案Q题、课堂练习、当堂检测与过程观察</x:v>
      </x:c>
      <x:c r="G47" s="25" t="str">
        <x:v>通过</x:v>
      </x:c>
    </x:row>
    <x:row r="48" ht="42" customHeight="1">
      <x:c r="A48" s="25" t="str">
        <x:v>C07-L11</x:v>
      </x:c>
      <x:c r="B48" s="25" t="str">
        <x:v>利用平移设计图案</x:v>
      </x:c>
      <x:c r="C48" s="25" t="n">
        <x:v>4</x:v>
      </x:c>
      <x:c r="D48" s="25" t="str">
        <x:v>在合作探究和互评中形成先审条件、再选方法、规范表达、主动复核的学习习惯。</x:v>
      </x:c>
      <x:c r="E48" s="25" t="str">
        <x:v>过程评价：记录完整、交流有依据、订正能说明错误原因。</x:v>
      </x:c>
      <x:c r="F48" s="25" t="str">
        <x:v>学案Q题、课堂练习、当堂检测与过程观察</x:v>
      </x:c>
      <x:c r="G48" s="25" t="str">
        <x:v>通过</x:v>
      </x:c>
    </x:row>
    <x:row r="49" ht="42" customHeight="1">
      <x:c r="A49" s="25" t="str">
        <x:v>C07-L12</x:v>
      </x:c>
      <x:c r="B49" s="25" t="str">
        <x:v>相交线与平行线数学活动</x:v>
      </x:c>
      <x:c r="C49" s="25" t="n">
        <x:v>1</x:v>
      </x:c>
      <x:c r="D49" s="25" t="str">
        <x:v>通过阅读、观察或操作，准确说出平行线画法探究、图案与建筑中的平行关系的含义、表示或基本步骤。</x:v>
      </x:c>
      <x:c r="E49" s="25" t="str">
        <x:v>目标1：Q1、Q2共5分，达到4分视为达成。</x:v>
      </x:c>
      <x:c r="F49" s="25" t="str">
        <x:v>学案Q题、课堂练习、当堂检测与过程观察</x:v>
      </x:c>
      <x:c r="G49" s="25" t="str">
        <x:v>通过</x:v>
      </x:c>
    </x:row>
    <x:row r="50" ht="42" customHeight="1">
      <x:c r="A50" s="25" t="str">
        <x:v>C07-L12</x:v>
      </x:c>
      <x:c r="B50" s="25" t="str">
        <x:v>相交线与平行线数学活动</x:v>
      </x:c>
      <x:c r="C50" s="25" t="n">
        <x:v>2</x:v>
      </x:c>
      <x:c r="D50" s="25" t="str">
        <x:v>在Q2—Q4中运用“用所学知识解释活动结果”，能用完整语言、式子、图形或图表说明依据。</x:v>
      </x:c>
      <x:c r="E50" s="25" t="str">
        <x:v>目标2：Q3、Q4共7分，达到5分视为达成。</x:v>
      </x:c>
      <x:c r="F50" s="25" t="str">
        <x:v>学案Q题、课堂练习、当堂检测与过程观察</x:v>
      </x:c>
      <x:c r="G50" s="25" t="str">
        <x:v>通过</x:v>
      </x:c>
    </x:row>
    <x:row r="51" ht="42" customHeight="1">
      <x:c r="A51" s="25" t="str">
        <x:v>C07-L12</x:v>
      </x:c>
      <x:c r="B51" s="25" t="str">
        <x:v>相交线与平行线数学活动</x:v>
      </x:c>
      <x:c r="C51" s="25" t="n">
        <x:v>3</x:v>
      </x:c>
      <x:c r="D51" s="25" t="str">
        <x:v>在基础与变式练习中运用“用所学知识解释活动结果”解决同类问题，并对结果进行检验。</x:v>
      </x:c>
      <x:c r="E51" s="25" t="str">
        <x:v>目标3：Q5—Q8共14分，达到11分视为达成。</x:v>
      </x:c>
      <x:c r="F51" s="25" t="str">
        <x:v>学案Q题、课堂练习、当堂检测与过程观察</x:v>
      </x:c>
      <x:c r="G51" s="25" t="str">
        <x:v>通过</x:v>
      </x:c>
    </x:row>
    <x:row r="52" ht="42" customHeight="1">
      <x:c r="A52" s="25" t="str">
        <x:v>C07-L12</x:v>
      </x:c>
      <x:c r="B52" s="25" t="str">
        <x:v>相交线与平行线数学活动</x:v>
      </x:c>
      <x:c r="C52" s="25" t="n">
        <x:v>4</x:v>
      </x:c>
      <x:c r="D52" s="25" t="str">
        <x:v>在合作探究和互评中形成先审条件、再选方法、规范表达、主动复核的学习习惯。</x:v>
      </x:c>
      <x:c r="E52" s="25" t="str">
        <x:v>过程评价：记录完整、交流有依据、订正能说明错误原因。</x:v>
      </x:c>
      <x:c r="F52" s="25" t="str">
        <x:v>学案Q题、课堂练习、当堂检测与过程观察</x:v>
      </x:c>
      <x:c r="G52" s="25" t="str">
        <x:v>通过</x:v>
      </x:c>
    </x:row>
    <x:row r="53" ht="42" customHeight="1">
      <x:c r="A53" s="25" t="str">
        <x:v>C07-L13</x:v>
      </x:c>
      <x:c r="B53" s="25" t="str">
        <x:v>相交线与平行线章末复习</x:v>
      </x:c>
      <x:c r="C53" s="25" t="n">
        <x:v>1</x:v>
      </x:c>
      <x:c r="D53" s="25" t="str">
        <x:v>通过阅读、观察或操作，准确说出相交线、垂线、平行线判定与性质、命题证明、平移的含义、表示或基本步骤。</x:v>
      </x:c>
      <x:c r="E53" s="25" t="str">
        <x:v>目标1：Q1、Q2共5分，达到4分视为达成。</x:v>
      </x:c>
      <x:c r="F53" s="25" t="str">
        <x:v>学案Q题、课堂练习、当堂检测与过程观察</x:v>
      </x:c>
      <x:c r="G53" s="25" t="str">
        <x:v>通过</x:v>
      </x:c>
    </x:row>
    <x:row r="54" ht="42" customHeight="1">
      <x:c r="A54" s="25" t="str">
        <x:v>C07-L13</x:v>
      </x:c>
      <x:c r="B54" s="25" t="str">
        <x:v>相交线与平行线章末复习</x:v>
      </x:c>
      <x:c r="C54" s="25" t="n">
        <x:v>2</x:v>
      </x:c>
      <x:c r="D54" s="25" t="str">
        <x:v>在Q2—Q4中运用“构建位置关系—角关系—推理方法知识网络”，能用完整语言、式子、图形或图表说明依据。</x:v>
      </x:c>
      <x:c r="E54" s="25" t="str">
        <x:v>目标2：Q3、Q4共7分，达到5分视为达成。</x:v>
      </x:c>
      <x:c r="F54" s="25" t="str">
        <x:v>学案Q题、课堂练习、当堂检测与过程观察</x:v>
      </x:c>
      <x:c r="G54" s="25" t="str">
        <x:v>通过</x:v>
      </x:c>
    </x:row>
    <x:row r="55" ht="42" customHeight="1">
      <x:c r="A55" s="25" t="str">
        <x:v>C07-L13</x:v>
      </x:c>
      <x:c r="B55" s="25" t="str">
        <x:v>相交线与平行线章末复习</x:v>
      </x:c>
      <x:c r="C55" s="25" t="n">
        <x:v>3</x:v>
      </x:c>
      <x:c r="D55" s="25" t="str">
        <x:v>在基础与变式练习中运用“构建位置关系—角关系—推理方法知识网络”解决同类问题，并对结果进行检验。</x:v>
      </x:c>
      <x:c r="E55" s="25" t="str">
        <x:v>目标3：Q5—Q8共14分，达到11分视为达成。</x:v>
      </x:c>
      <x:c r="F55" s="25" t="str">
        <x:v>学案Q题、课堂练习、当堂检测与过程观察</x:v>
      </x:c>
      <x:c r="G55" s="25" t="str">
        <x:v>通过</x:v>
      </x:c>
    </x:row>
    <x:row r="56" ht="42" customHeight="1">
      <x:c r="A56" s="25" t="str">
        <x:v>C07-L13</x:v>
      </x:c>
      <x:c r="B56" s="25" t="str">
        <x:v>相交线与平行线章末复习</x:v>
      </x:c>
      <x:c r="C56" s="25" t="n">
        <x:v>4</x:v>
      </x:c>
      <x:c r="D56" s="25" t="str">
        <x:v>在合作探究和互评中形成先审条件、再选方法、规范表达、主动复核的学习习惯。</x:v>
      </x:c>
      <x:c r="E56" s="25" t="str">
        <x:v>过程评价：记录完整、交流有依据、订正能说明错误原因。</x:v>
      </x:c>
      <x:c r="F56" s="25" t="str">
        <x:v>学案Q题、课堂练习、当堂检测与过程观察</x:v>
      </x:c>
      <x:c r="G56" s="25" t="str">
        <x:v>通过</x:v>
      </x:c>
    </x:row>
    <x:row r="57" ht="42" customHeight="1">
      <x:c r="A57" s="25" t="str">
        <x:v>C08-L01</x:v>
      </x:c>
      <x:c r="B57" s="25" t="str">
        <x:v>平方根</x:v>
      </x:c>
      <x:c r="C57" s="25" t="n">
        <x:v>1</x:v>
      </x:c>
      <x:c r="D57" s="25" t="str">
        <x:v>通过阅读、观察或操作，准确说出平方根概念、正数与0的平方根、负数没有平方根的含义、表示或基本步骤。</x:v>
      </x:c>
      <x:c r="E57" s="25" t="str">
        <x:v>目标1：Q1、Q2共5分，达到4分视为达成。</x:v>
      </x:c>
      <x:c r="F57" s="25" t="str">
        <x:v>学案Q题、课堂练习、当堂检测与过程观察</x:v>
      </x:c>
      <x:c r="G57" s="25" t="str">
        <x:v>通过</x:v>
      </x:c>
    </x:row>
    <x:row r="58" ht="42" customHeight="1">
      <x:c r="A58" s="25" t="str">
        <x:v>C08-L01</x:v>
      </x:c>
      <x:c r="B58" s="25" t="str">
        <x:v>平方根</x:v>
      </x:c>
      <x:c r="C58" s="25" t="n">
        <x:v>2</x:v>
      </x:c>
      <x:c r="D58" s="25" t="str">
        <x:v>在Q2—Q4中运用“根据平方关系求平方根”，能用完整语言、式子、图形或图表说明依据。</x:v>
      </x:c>
      <x:c r="E58" s="25" t="str">
        <x:v>目标2：Q3、Q4共7分，达到5分视为达成。</x:v>
      </x:c>
      <x:c r="F58" s="25" t="str">
        <x:v>学案Q题、课堂练习、当堂检测与过程观察</x:v>
      </x:c>
      <x:c r="G58" s="25" t="str">
        <x:v>通过</x:v>
      </x:c>
    </x:row>
    <x:row r="59" ht="42" customHeight="1">
      <x:c r="A59" s="25" t="str">
        <x:v>C08-L01</x:v>
      </x:c>
      <x:c r="B59" s="25" t="str">
        <x:v>平方根</x:v>
      </x:c>
      <x:c r="C59" s="25" t="n">
        <x:v>3</x:v>
      </x:c>
      <x:c r="D59" s="25" t="str">
        <x:v>在基础与变式练习中运用“根据平方关系求平方根”解决同类问题，并对结果进行检验。</x:v>
      </x:c>
      <x:c r="E59" s="25" t="str">
        <x:v>目标3：Q5—Q8共14分，达到11分视为达成。</x:v>
      </x:c>
      <x:c r="F59" s="25" t="str">
        <x:v>学案Q题、课堂练习、当堂检测与过程观察</x:v>
      </x:c>
      <x:c r="G59" s="25" t="str">
        <x:v>通过</x:v>
      </x:c>
    </x:row>
    <x:row r="60" ht="42" customHeight="1">
      <x:c r="A60" s="25" t="str">
        <x:v>C08-L01</x:v>
      </x:c>
      <x:c r="B60" s="25" t="str">
        <x:v>平方根</x:v>
      </x:c>
      <x:c r="C60" s="25" t="n">
        <x:v>4</x:v>
      </x:c>
      <x:c r="D60" s="25" t="str">
        <x:v>在合作探究和互评中形成先审条件、再选方法、规范表达、主动复核的学习习惯。</x:v>
      </x:c>
      <x:c r="E60" s="25" t="str">
        <x:v>过程评价：记录完整、交流有依据、订正能说明错误原因。</x:v>
      </x:c>
      <x:c r="F60" s="25" t="str">
        <x:v>学案Q题、课堂练习、当堂检测与过程观察</x:v>
      </x:c>
      <x:c r="G60" s="25" t="str">
        <x:v>通过</x:v>
      </x:c>
    </x:row>
    <x:row r="61" ht="42" customHeight="1">
      <x:c r="A61" s="25" t="str">
        <x:v>C08-L02</x:v>
      </x:c>
      <x:c r="B61" s="25" t="str">
        <x:v>算术平方根</x:v>
      </x:c>
      <x:c r="C61" s="25" t="n">
        <x:v>1</x:v>
      </x:c>
      <x:c r="D61" s="25" t="str">
        <x:v>通过阅读、观察或操作，准确说出算术平方根、根号与被开方数、算术平方根的非负性的含义、表示或基本步骤。</x:v>
      </x:c>
      <x:c r="E61" s="25" t="str">
        <x:v>目标1：Q1、Q2共5分，达到4分视为达成。</x:v>
      </x:c>
      <x:c r="F61" s="25" t="str">
        <x:v>学案Q题、课堂练习、当堂检测与过程观察</x:v>
      </x:c>
      <x:c r="G61" s="25" t="str">
        <x:v>通过</x:v>
      </x:c>
    </x:row>
    <x:row r="62" ht="42" customHeight="1">
      <x:c r="A62" s="25" t="str">
        <x:v>C08-L02</x:v>
      </x:c>
      <x:c r="B62" s="25" t="str">
        <x:v>算术平方根</x:v>
      </x:c>
      <x:c r="C62" s="25" t="n">
        <x:v>2</x:v>
      </x:c>
      <x:c r="D62" s="25" t="str">
        <x:v>在Q2—Q4中运用“区分平方根与算术平方根”，能用完整语言、式子、图形或图表说明依据。</x:v>
      </x:c>
      <x:c r="E62" s="25" t="str">
        <x:v>目标2：Q3、Q4共7分，达到5分视为达成。</x:v>
      </x:c>
      <x:c r="F62" s="25" t="str">
        <x:v>学案Q题、课堂练习、当堂检测与过程观察</x:v>
      </x:c>
      <x:c r="G62" s="25" t="str">
        <x:v>通过</x:v>
      </x:c>
    </x:row>
    <x:row r="63" ht="42" customHeight="1">
      <x:c r="A63" s="25" t="str">
        <x:v>C08-L02</x:v>
      </x:c>
      <x:c r="B63" s="25" t="str">
        <x:v>算术平方根</x:v>
      </x:c>
      <x:c r="C63" s="25" t="n">
        <x:v>3</x:v>
      </x:c>
      <x:c r="D63" s="25" t="str">
        <x:v>在基础与变式练习中运用“区分平方根与算术平方根”解决同类问题，并对结果进行检验。</x:v>
      </x:c>
      <x:c r="E63" s="25" t="str">
        <x:v>目标3：Q5—Q8共14分，达到11分视为达成。</x:v>
      </x:c>
      <x:c r="F63" s="25" t="str">
        <x:v>学案Q题、课堂练习、当堂检测与过程观察</x:v>
      </x:c>
      <x:c r="G63" s="25" t="str">
        <x:v>通过</x:v>
      </x:c>
    </x:row>
    <x:row r="64" ht="42" customHeight="1">
      <x:c r="A64" s="25" t="str">
        <x:v>C08-L02</x:v>
      </x:c>
      <x:c r="B64" s="25" t="str">
        <x:v>算术平方根</x:v>
      </x:c>
      <x:c r="C64" s="25" t="n">
        <x:v>4</x:v>
      </x:c>
      <x:c r="D64" s="25" t="str">
        <x:v>在合作探究和互评中形成先审条件、再选方法、规范表达、主动复核的学习习惯。</x:v>
      </x:c>
      <x:c r="E64" s="25" t="str">
        <x:v>过程评价：记录完整、交流有依据、订正能说明错误原因。</x:v>
      </x:c>
      <x:c r="F64" s="25" t="str">
        <x:v>学案Q题、课堂练习、当堂检测与过程观察</x:v>
      </x:c>
      <x:c r="G64" s="25" t="str">
        <x:v>通过</x:v>
      </x:c>
    </x:row>
    <x:row r="65" ht="42" customHeight="1">
      <x:c r="A65" s="25" t="str">
        <x:v>C08-L03</x:v>
      </x:c>
      <x:c r="B65" s="25" t="str">
        <x:v>算术平方根的估算与应用</x:v>
      </x:c>
      <x:c r="C65" s="25" t="n">
        <x:v>1</x:v>
      </x:c>
      <x:c r="D65" s="25" t="str">
        <x:v>通过阅读、观察或操作，准确说出计算器求平方根、估算无理数范围、算术平方根实际应用的含义、表示或基本步骤。</x:v>
      </x:c>
      <x:c r="E65" s="25" t="str">
        <x:v>目标1：Q1、Q2共5分，达到4分视为达成。</x:v>
      </x:c>
      <x:c r="F65" s="25" t="str">
        <x:v>学案Q题、课堂练习、当堂检测与过程观察</x:v>
      </x:c>
      <x:c r="G65" s="25" t="str">
        <x:v>通过</x:v>
      </x:c>
    </x:row>
    <x:row r="66" ht="42" customHeight="1">
      <x:c r="A66" s="25" t="str">
        <x:v>C08-L03</x:v>
      </x:c>
      <x:c r="B66" s="25" t="str">
        <x:v>算术平方根的估算与应用</x:v>
      </x:c>
      <x:c r="C66" s="25" t="n">
        <x:v>2</x:v>
      </x:c>
      <x:c r="D66" s="25" t="str">
        <x:v>在Q2—Q4中运用“用夹逼和计算器求近似值”，能用完整语言、式子、图形或图表说明依据。</x:v>
      </x:c>
      <x:c r="E66" s="25" t="str">
        <x:v>目标2：Q3、Q4共7分，达到5分视为达成。</x:v>
      </x:c>
      <x:c r="F66" s="25" t="str">
        <x:v>学案Q题、课堂练习、当堂检测与过程观察</x:v>
      </x:c>
      <x:c r="G66" s="25" t="str">
        <x:v>通过</x:v>
      </x:c>
    </x:row>
    <x:row r="67" ht="42" customHeight="1">
      <x:c r="A67" s="25" t="str">
        <x:v>C08-L03</x:v>
      </x:c>
      <x:c r="B67" s="25" t="str">
        <x:v>算术平方根的估算与应用</x:v>
      </x:c>
      <x:c r="C67" s="25" t="n">
        <x:v>3</x:v>
      </x:c>
      <x:c r="D67" s="25" t="str">
        <x:v>在基础与变式练习中运用“用夹逼和计算器求近似值”解决同类问题，并对结果进行检验。</x:v>
      </x:c>
      <x:c r="E67" s="25" t="str">
        <x:v>目标3：Q5—Q8共14分，达到11分视为达成。</x:v>
      </x:c>
      <x:c r="F67" s="25" t="str">
        <x:v>学案Q题、课堂练习、当堂检测与过程观察</x:v>
      </x:c>
      <x:c r="G67" s="25" t="str">
        <x:v>通过</x:v>
      </x:c>
    </x:row>
    <x:row r="68" ht="42" customHeight="1">
      <x:c r="A68" s="25" t="str">
        <x:v>C08-L03</x:v>
      </x:c>
      <x:c r="B68" s="25" t="str">
        <x:v>算术平方根的估算与应用</x:v>
      </x:c>
      <x:c r="C68" s="25" t="n">
        <x:v>4</x:v>
      </x:c>
      <x:c r="D68" s="25" t="str">
        <x:v>在合作探究和互评中形成先审条件、再选方法、规范表达、主动复核的学习习惯。</x:v>
      </x:c>
      <x:c r="E68" s="25" t="str">
        <x:v>过程评价：记录完整、交流有依据、订正能说明错误原因。</x:v>
      </x:c>
      <x:c r="F68" s="25" t="str">
        <x:v>学案Q题、课堂练习、当堂检测与过程观察</x:v>
      </x:c>
      <x:c r="G68" s="25" t="str">
        <x:v>通过</x:v>
      </x:c>
    </x:row>
    <x:row r="69" ht="42" customHeight="1">
      <x:c r="A69" s="25" t="str">
        <x:v>C08-L04</x:v>
      </x:c>
      <x:c r="B69" s="25" t="str">
        <x:v>立方根</x:v>
      </x:c>
      <x:c r="C69" s="25" t="n">
        <x:v>1</x:v>
      </x:c>
      <x:c r="D69" s="25" t="str">
        <x:v>通过阅读、观察或操作，准确说出立方根、开立方、正负数和0的立方根的含义、表示或基本步骤。</x:v>
      </x:c>
      <x:c r="E69" s="25" t="str">
        <x:v>目标1：Q1、Q2共5分，达到4分视为达成。</x:v>
      </x:c>
      <x:c r="F69" s="25" t="str">
        <x:v>学案Q题、课堂练习、当堂检测与过程观察</x:v>
      </x:c>
      <x:c r="G69" s="25" t="str">
        <x:v>通过</x:v>
      </x:c>
    </x:row>
    <x:row r="70" ht="42" customHeight="1">
      <x:c r="A70" s="25" t="str">
        <x:v>C08-L04</x:v>
      </x:c>
      <x:c r="B70" s="25" t="str">
        <x:v>立方根</x:v>
      </x:c>
      <x:c r="C70" s="25" t="n">
        <x:v>2</x:v>
      </x:c>
      <x:c r="D70" s="25" t="str">
        <x:v>在Q2—Q4中运用“利用立方关系求立方根”，能用完整语言、式子、图形或图表说明依据。</x:v>
      </x:c>
      <x:c r="E70" s="25" t="str">
        <x:v>目标2：Q3、Q4共7分，达到5分视为达成。</x:v>
      </x:c>
      <x:c r="F70" s="25" t="str">
        <x:v>学案Q题、课堂练习、当堂检测与过程观察</x:v>
      </x:c>
      <x:c r="G70" s="25" t="str">
        <x:v>通过</x:v>
      </x:c>
    </x:row>
    <x:row r="71" ht="42" customHeight="1">
      <x:c r="A71" s="25" t="str">
        <x:v>C08-L04</x:v>
      </x:c>
      <x:c r="B71" s="25" t="str">
        <x:v>立方根</x:v>
      </x:c>
      <x:c r="C71" s="25" t="n">
        <x:v>3</x:v>
      </x:c>
      <x:c r="D71" s="25" t="str">
        <x:v>在基础与变式练习中运用“利用立方关系求立方根”解决同类问题，并对结果进行检验。</x:v>
      </x:c>
      <x:c r="E71" s="25" t="str">
        <x:v>目标3：Q5—Q8共14分，达到11分视为达成。</x:v>
      </x:c>
      <x:c r="F71" s="25" t="str">
        <x:v>学案Q题、课堂练习、当堂检测与过程观察</x:v>
      </x:c>
      <x:c r="G71" s="25" t="str">
        <x:v>通过</x:v>
      </x:c>
    </x:row>
    <x:row r="72" ht="42" customHeight="1">
      <x:c r="A72" s="25" t="str">
        <x:v>C08-L04</x:v>
      </x:c>
      <x:c r="B72" s="25" t="str">
        <x:v>立方根</x:v>
      </x:c>
      <x:c r="C72" s="25" t="n">
        <x:v>4</x:v>
      </x:c>
      <x:c r="D72" s="25" t="str">
        <x:v>在合作探究和互评中形成先审条件、再选方法、规范表达、主动复核的学习习惯。</x:v>
      </x:c>
      <x:c r="E72" s="25" t="str">
        <x:v>过程评价：记录完整、交流有依据、订正能说明错误原因。</x:v>
      </x:c>
      <x:c r="F72" s="25" t="str">
        <x:v>学案Q题、课堂练习、当堂检测与过程观察</x:v>
      </x:c>
      <x:c r="G72" s="25" t="str">
        <x:v>通过</x:v>
      </x:c>
    </x:row>
    <x:row r="73" ht="42" customHeight="1">
      <x:c r="A73" s="25" t="str">
        <x:v>C08-L05</x:v>
      </x:c>
      <x:c r="B73" s="25" t="str">
        <x:v>无理数与实数</x:v>
      </x:c>
      <x:c r="C73" s="25" t="n">
        <x:v>1</x:v>
      </x:c>
      <x:c r="D73" s="25" t="str">
        <x:v>通过阅读、观察或操作，准确说出无理数、实数分类、实数与数轴上点的一一对应的含义、表示或基本步骤。</x:v>
      </x:c>
      <x:c r="E73" s="25" t="str">
        <x:v>目标1：Q1、Q2共5分，达到4分视为达成。</x:v>
      </x:c>
      <x:c r="F73" s="25" t="str">
        <x:v>学案Q题、课堂练习、当堂检测与过程观察</x:v>
      </x:c>
      <x:c r="G73" s="25" t="str">
        <x:v>通过</x:v>
      </x:c>
    </x:row>
    <x:row r="74" ht="42" customHeight="1">
      <x:c r="A74" s="25" t="str">
        <x:v>C08-L05</x:v>
      </x:c>
      <x:c r="B74" s="25" t="str">
        <x:v>无理数与实数</x:v>
      </x:c>
      <x:c r="C74" s="25" t="n">
        <x:v>2</x:v>
      </x:c>
      <x:c r="D74" s="25" t="str">
        <x:v>在Q2—Q4中运用“按定义区分有理数与无理数”，能用完整语言、式子、图形或图表说明依据。</x:v>
      </x:c>
      <x:c r="E74" s="25" t="str">
        <x:v>目标2：Q3、Q4共7分，达到5分视为达成。</x:v>
      </x:c>
      <x:c r="F74" s="25" t="str">
        <x:v>学案Q题、课堂练习、当堂检测与过程观察</x:v>
      </x:c>
      <x:c r="G74" s="25" t="str">
        <x:v>通过</x:v>
      </x:c>
    </x:row>
    <x:row r="75" ht="42" customHeight="1">
      <x:c r="A75" s="25" t="str">
        <x:v>C08-L05</x:v>
      </x:c>
      <x:c r="B75" s="25" t="str">
        <x:v>无理数与实数</x:v>
      </x:c>
      <x:c r="C75" s="25" t="n">
        <x:v>3</x:v>
      </x:c>
      <x:c r="D75" s="25" t="str">
        <x:v>在基础与变式练习中运用“按定义区分有理数与无理数”解决同类问题，并对结果进行检验。</x:v>
      </x:c>
      <x:c r="E75" s="25" t="str">
        <x:v>目标3：Q5—Q8共14分，达到11分视为达成。</x:v>
      </x:c>
      <x:c r="F75" s="25" t="str">
        <x:v>学案Q题、课堂练习、当堂检测与过程观察</x:v>
      </x:c>
      <x:c r="G75" s="25" t="str">
        <x:v>通过</x:v>
      </x:c>
    </x:row>
    <x:row r="76" ht="42" customHeight="1">
      <x:c r="A76" s="25" t="str">
        <x:v>C08-L05</x:v>
      </x:c>
      <x:c r="B76" s="25" t="str">
        <x:v>无理数与实数</x:v>
      </x:c>
      <x:c r="C76" s="25" t="n">
        <x:v>4</x:v>
      </x:c>
      <x:c r="D76" s="25" t="str">
        <x:v>在合作探究和互评中形成先审条件、再选方法、规范表达、主动复核的学习习惯。</x:v>
      </x:c>
      <x:c r="E76" s="25" t="str">
        <x:v>过程评价：记录完整、交流有依据、订正能说明错误原因。</x:v>
      </x:c>
      <x:c r="F76" s="25" t="str">
        <x:v>学案Q题、课堂练习、当堂检测与过程观察</x:v>
      </x:c>
      <x:c r="G76" s="25" t="str">
        <x:v>通过</x:v>
      </x:c>
    </x:row>
    <x:row r="77" ht="42" customHeight="1">
      <x:c r="A77" s="25" t="str">
        <x:v>C08-L06</x:v>
      </x:c>
      <x:c r="B77" s="25" t="str">
        <x:v>实数的性质与简单运算</x:v>
      </x:c>
      <x:c r="C77" s="25" t="n">
        <x:v>1</x:v>
      </x:c>
      <x:c r="D77" s="25" t="str">
        <x:v>通过阅读、观察或操作，准确说出实数的相反数与绝对值、实数大小、实数运算的含义、表示或基本步骤。</x:v>
      </x:c>
      <x:c r="E77" s="25" t="str">
        <x:v>目标1：Q1、Q2共5分，达到4分视为达成。</x:v>
      </x:c>
      <x:c r="F77" s="25" t="str">
        <x:v>学案Q题、课堂练习、当堂检测与过程观察</x:v>
      </x:c>
      <x:c r="G77" s="25" t="str">
        <x:v>通过</x:v>
      </x:c>
    </x:row>
    <x:row r="78" ht="42" customHeight="1">
      <x:c r="A78" s="25" t="str">
        <x:v>C08-L06</x:v>
      </x:c>
      <x:c r="B78" s="25" t="str">
        <x:v>实数的性质与简单运算</x:v>
      </x:c>
      <x:c r="C78" s="25" t="n">
        <x:v>2</x:v>
      </x:c>
      <x:c r="D78" s="25" t="str">
        <x:v>在Q2—Q4中运用“把有理数运算规则迁移到实数”，能用完整语言、式子、图形或图表说明依据。</x:v>
      </x:c>
      <x:c r="E78" s="25" t="str">
        <x:v>目标2：Q3、Q4共7分，达到5分视为达成。</x:v>
      </x:c>
      <x:c r="F78" s="25" t="str">
        <x:v>学案Q题、课堂练习、当堂检测与过程观察</x:v>
      </x:c>
      <x:c r="G78" s="25" t="str">
        <x:v>通过</x:v>
      </x:c>
    </x:row>
    <x:row r="79" ht="42" customHeight="1">
      <x:c r="A79" s="25" t="str">
        <x:v>C08-L06</x:v>
      </x:c>
      <x:c r="B79" s="25" t="str">
        <x:v>实数的性质与简单运算</x:v>
      </x:c>
      <x:c r="C79" s="25" t="n">
        <x:v>3</x:v>
      </x:c>
      <x:c r="D79" s="25" t="str">
        <x:v>在基础与变式练习中运用“把有理数运算规则迁移到实数”解决同类问题，并对结果进行检验。</x:v>
      </x:c>
      <x:c r="E79" s="25" t="str">
        <x:v>目标3：Q5—Q8共14分，达到11分视为达成。</x:v>
      </x:c>
      <x:c r="F79" s="25" t="str">
        <x:v>学案Q题、课堂练习、当堂检测与过程观察</x:v>
      </x:c>
      <x:c r="G79" s="25" t="str">
        <x:v>通过</x:v>
      </x:c>
    </x:row>
    <x:row r="80" ht="42" customHeight="1">
      <x:c r="A80" s="25" t="str">
        <x:v>C08-L06</x:v>
      </x:c>
      <x:c r="B80" s="25" t="str">
        <x:v>实数的性质与简单运算</x:v>
      </x:c>
      <x:c r="C80" s="25" t="n">
        <x:v>4</x:v>
      </x:c>
      <x:c r="D80" s="25" t="str">
        <x:v>在合作探究和互评中形成先审条件、再选方法、规范表达、主动复核的学习习惯。</x:v>
      </x:c>
      <x:c r="E80" s="25" t="str">
        <x:v>过程评价：记录完整、交流有依据、订正能说明错误原因。</x:v>
      </x:c>
      <x:c r="F80" s="25" t="str">
        <x:v>学案Q题、课堂练习、当堂检测与过程观察</x:v>
      </x:c>
      <x:c r="G80" s="25" t="str">
        <x:v>通过</x:v>
      </x:c>
    </x:row>
    <x:row r="81" ht="42" customHeight="1">
      <x:c r="A81" s="25" t="str">
        <x:v>C08-L07</x:v>
      </x:c>
      <x:c r="B81" s="25" t="str">
        <x:v>根号2的无理性与实数数学活动</x:v>
      </x:c>
      <x:c r="C81" s="25" t="n">
        <x:v>1</x:v>
      </x:c>
      <x:c r="D81" s="25" t="str">
        <x:v>通过阅读、观察或操作，准确说出反证思想直观、无理数认识、实数活动探究的含义、表示或基本步骤。</x:v>
      </x:c>
      <x:c r="E81" s="25" t="str">
        <x:v>目标1：Q1、Q2共5分，达到4分视为达成。</x:v>
      </x:c>
      <x:c r="F81" s="25" t="str">
        <x:v>学案Q题、课堂练习、当堂检测与过程观察</x:v>
      </x:c>
      <x:c r="G81" s="25" t="str">
        <x:v>通过</x:v>
      </x:c>
    </x:row>
    <x:row r="82" ht="42" customHeight="1">
      <x:c r="A82" s="25" t="str">
        <x:v>C08-L07</x:v>
      </x:c>
      <x:c r="B82" s="25" t="str">
        <x:v>根号2的无理性与实数数学活动</x:v>
      </x:c>
      <x:c r="C82" s="25" t="n">
        <x:v>2</x:v>
      </x:c>
      <x:c r="D82" s="25" t="str">
        <x:v>在Q2—Q4中运用“读懂根号2不是有理数的论证思路”，能用完整语言、式子、图形或图表说明依据。</x:v>
      </x:c>
      <x:c r="E82" s="25" t="str">
        <x:v>目标2：Q3、Q4共7分，达到5分视为达成。</x:v>
      </x:c>
      <x:c r="F82" s="25" t="str">
        <x:v>学案Q题、课堂练习、当堂检测与过程观察</x:v>
      </x:c>
      <x:c r="G82" s="25" t="str">
        <x:v>通过</x:v>
      </x:c>
    </x:row>
    <x:row r="83" ht="42" customHeight="1">
      <x:c r="A83" s="25" t="str">
        <x:v>C08-L07</x:v>
      </x:c>
      <x:c r="B83" s="25" t="str">
        <x:v>根号2的无理性与实数数学活动</x:v>
      </x:c>
      <x:c r="C83" s="25" t="n">
        <x:v>3</x:v>
      </x:c>
      <x:c r="D83" s="25" t="str">
        <x:v>在基础与变式练习中运用“读懂根号2不是有理数的论证思路”解决同类问题，并对结果进行检验。</x:v>
      </x:c>
      <x:c r="E83" s="25" t="str">
        <x:v>目标3：Q5—Q8共14分，达到11分视为达成。</x:v>
      </x:c>
      <x:c r="F83" s="25" t="str">
        <x:v>学案Q题、课堂练习、当堂检测与过程观察</x:v>
      </x:c>
      <x:c r="G83" s="25" t="str">
        <x:v>通过</x:v>
      </x:c>
    </x:row>
    <x:row r="84" ht="42" customHeight="1">
      <x:c r="A84" s="25" t="str">
        <x:v>C08-L07</x:v>
      </x:c>
      <x:c r="B84" s="25" t="str">
        <x:v>根号2的无理性与实数数学活动</x:v>
      </x:c>
      <x:c r="C84" s="25" t="n">
        <x:v>4</x:v>
      </x:c>
      <x:c r="D84" s="25" t="str">
        <x:v>在合作探究和互评中形成先审条件、再选方法、规范表达、主动复核的学习习惯。</x:v>
      </x:c>
      <x:c r="E84" s="25" t="str">
        <x:v>过程评价：记录完整、交流有依据、订正能说明错误原因。</x:v>
      </x:c>
      <x:c r="F84" s="25" t="str">
        <x:v>学案Q题、课堂练习、当堂检测与过程观察</x:v>
      </x:c>
      <x:c r="G84" s="25" t="str">
        <x:v>通过</x:v>
      </x:c>
    </x:row>
    <x:row r="85" ht="42" customHeight="1">
      <x:c r="A85" s="25" t="str">
        <x:v>C08-L08</x:v>
      </x:c>
      <x:c r="B85" s="25" t="str">
        <x:v>实数章末复习</x:v>
      </x:c>
      <x:c r="C85" s="25" t="n">
        <x:v>1</x:v>
      </x:c>
      <x:c r="D85" s="25" t="str">
        <x:v>通过阅读、观察或操作，准确说出平方根、立方根、无理数与实数、实数运算的含义、表示或基本步骤。</x:v>
      </x:c>
      <x:c r="E85" s="25" t="str">
        <x:v>目标1：Q1、Q2共5分，达到4分视为达成。</x:v>
      </x:c>
      <x:c r="F85" s="25" t="str">
        <x:v>学案Q题、课堂练习、当堂检测与过程观察</x:v>
      </x:c>
      <x:c r="G85" s="25" t="str">
        <x:v>通过</x:v>
      </x:c>
    </x:row>
    <x:row r="86" ht="42" customHeight="1">
      <x:c r="A86" s="25" t="str">
        <x:v>C08-L08</x:v>
      </x:c>
      <x:c r="B86" s="25" t="str">
        <x:v>实数章末复习</x:v>
      </x:c>
      <x:c r="C86" s="25" t="n">
        <x:v>2</x:v>
      </x:c>
      <x:c r="D86" s="25" t="str">
        <x:v>在Q2—Q4中运用“构建开方与实数知识网络”，能用完整语言、式子、图形或图表说明依据。</x:v>
      </x:c>
      <x:c r="E86" s="25" t="str">
        <x:v>目标2：Q3、Q4共7分，达到5分视为达成。</x:v>
      </x:c>
      <x:c r="F86" s="25" t="str">
        <x:v>学案Q题、课堂练习、当堂检测与过程观察</x:v>
      </x:c>
      <x:c r="G86" s="25" t="str">
        <x:v>通过</x:v>
      </x:c>
    </x:row>
    <x:row r="87" ht="42" customHeight="1">
      <x:c r="A87" s="25" t="str">
        <x:v>C08-L08</x:v>
      </x:c>
      <x:c r="B87" s="25" t="str">
        <x:v>实数章末复习</x:v>
      </x:c>
      <x:c r="C87" s="25" t="n">
        <x:v>3</x:v>
      </x:c>
      <x:c r="D87" s="25" t="str">
        <x:v>在基础与变式练习中运用“构建开方与实数知识网络”解决同类问题，并对结果进行检验。</x:v>
      </x:c>
      <x:c r="E87" s="25" t="str">
        <x:v>目标3：Q5—Q8共14分，达到11分视为达成。</x:v>
      </x:c>
      <x:c r="F87" s="25" t="str">
        <x:v>学案Q题、课堂练习、当堂检测与过程观察</x:v>
      </x:c>
      <x:c r="G87" s="25" t="str">
        <x:v>通过</x:v>
      </x:c>
    </x:row>
    <x:row r="88" ht="42" customHeight="1">
      <x:c r="A88" s="25" t="str">
        <x:v>C08-L08</x:v>
      </x:c>
      <x:c r="B88" s="25" t="str">
        <x:v>实数章末复习</x:v>
      </x:c>
      <x:c r="C88" s="25" t="n">
        <x:v>4</x:v>
      </x:c>
      <x:c r="D88" s="25" t="str">
        <x:v>在合作探究和互评中形成先审条件、再选方法、规范表达、主动复核的学习习惯。</x:v>
      </x:c>
      <x:c r="E88" s="25" t="str">
        <x:v>过程评价：记录完整、交流有依据、订正能说明错误原因。</x:v>
      </x:c>
      <x:c r="F88" s="25" t="str">
        <x:v>学案Q题、课堂练习、当堂检测与过程观察</x:v>
      </x:c>
      <x:c r="G88" s="25" t="str">
        <x:v>通过</x:v>
      </x:c>
    </x:row>
    <x:row r="89" ht="42" customHeight="1">
      <x:c r="A89" s="25" t="str">
        <x:v>C09-L01</x:v>
      </x:c>
      <x:c r="B89" s="25" t="str">
        <x:v>平面直角坐标系与点的坐标</x:v>
      </x:c>
      <x:c r="C89" s="25" t="n">
        <x:v>1</x:v>
      </x:c>
      <x:c r="D89" s="25" t="str">
        <x:v>通过阅读、观察或操作，准确说出平面直角坐标系、坐标轴与原点、象限、有序数对的含义、表示或基本步骤。</x:v>
      </x:c>
      <x:c r="E89" s="25" t="str">
        <x:v>目标1：Q1、Q2共5分，达到4分视为达成。</x:v>
      </x:c>
      <x:c r="F89" s="25" t="str">
        <x:v>学案Q题、课堂练习、当堂检测与过程观察</x:v>
      </x:c>
      <x:c r="G89" s="25" t="str">
        <x:v>通过</x:v>
      </x:c>
    </x:row>
    <x:row r="90" ht="42" customHeight="1">
      <x:c r="A90" s="25" t="str">
        <x:v>C09-L01</x:v>
      </x:c>
      <x:c r="B90" s="25" t="str">
        <x:v>平面直角坐标系与点的坐标</x:v>
      </x:c>
      <x:c r="C90" s="25" t="n">
        <x:v>2</x:v>
      </x:c>
      <x:c r="D90" s="25" t="str">
        <x:v>在Q2—Q4中运用“由点确定坐标并由坐标描点”，能用完整语言、式子、图形或图表说明依据。</x:v>
      </x:c>
      <x:c r="E90" s="25" t="str">
        <x:v>目标2：Q3、Q4共7分，达到5分视为达成。</x:v>
      </x:c>
      <x:c r="F90" s="25" t="str">
        <x:v>学案Q题、课堂练习、当堂检测与过程观察</x:v>
      </x:c>
      <x:c r="G90" s="25" t="str">
        <x:v>通过</x:v>
      </x:c>
    </x:row>
    <x:row r="91" ht="42" customHeight="1">
      <x:c r="A91" s="25" t="str">
        <x:v>C09-L01</x:v>
      </x:c>
      <x:c r="B91" s="25" t="str">
        <x:v>平面直角坐标系与点的坐标</x:v>
      </x:c>
      <x:c r="C91" s="25" t="n">
        <x:v>3</x:v>
      </x:c>
      <x:c r="D91" s="25" t="str">
        <x:v>在基础与变式练习中运用“由点确定坐标并由坐标描点”解决同类问题，并对结果进行检验。</x:v>
      </x:c>
      <x:c r="E91" s="25" t="str">
        <x:v>目标3：Q5—Q8共14分，达到11分视为达成。</x:v>
      </x:c>
      <x:c r="F91" s="25" t="str">
        <x:v>学案Q题、课堂练习、当堂检测与过程观察</x:v>
      </x:c>
      <x:c r="G91" s="25" t="str">
        <x:v>通过</x:v>
      </x:c>
    </x:row>
    <x:row r="92" ht="42" customHeight="1">
      <x:c r="A92" s="25" t="str">
        <x:v>C09-L01</x:v>
      </x:c>
      <x:c r="B92" s="25" t="str">
        <x:v>平面直角坐标系与点的坐标</x:v>
      </x:c>
      <x:c r="C92" s="25" t="n">
        <x:v>4</x:v>
      </x:c>
      <x:c r="D92" s="25" t="str">
        <x:v>在合作探究和互评中形成先审条件、再选方法、规范表达、主动复核的学习习惯。</x:v>
      </x:c>
      <x:c r="E92" s="25" t="str">
        <x:v>过程评价：记录完整、交流有依据、订正能说明错误原因。</x:v>
      </x:c>
      <x:c r="F92" s="25" t="str">
        <x:v>学案Q题、课堂练习、当堂检测与过程观察</x:v>
      </x:c>
      <x:c r="G92" s="25" t="str">
        <x:v>通过</x:v>
      </x:c>
    </x:row>
    <x:row r="93" ht="42" customHeight="1">
      <x:c r="A93" s="25" t="str">
        <x:v>C09-L02</x:v>
      </x:c>
      <x:c r="B93" s="25" t="str">
        <x:v>用坐标描述图形和位置</x:v>
      </x:c>
      <x:c r="C93" s="25" t="n">
        <x:v>1</x:v>
      </x:c>
      <x:c r="D93" s="25" t="str">
        <x:v>通过阅读、观察或操作，准确说出用关键点坐标描述图形、建立适当坐标系、经纬度表示位置的含义、表示或基本步骤。</x:v>
      </x:c>
      <x:c r="E93" s="25" t="str">
        <x:v>目标1：Q1、Q2共5分，达到4分视为达成。</x:v>
      </x:c>
      <x:c r="F93" s="25" t="str">
        <x:v>学案Q题、课堂练习、当堂检测与过程观察</x:v>
      </x:c>
      <x:c r="G93" s="25" t="str">
        <x:v>通过</x:v>
      </x:c>
    </x:row>
    <x:row r="94" ht="42" customHeight="1">
      <x:c r="A94" s="25" t="str">
        <x:v>C09-L02</x:v>
      </x:c>
      <x:c r="B94" s="25" t="str">
        <x:v>用坐标描述图形和位置</x:v>
      </x:c>
      <x:c r="C94" s="25" t="n">
        <x:v>2</x:v>
      </x:c>
      <x:c r="D94" s="25" t="str">
        <x:v>在Q2—Q4中运用“选择原点和坐标轴简化坐标”，能用完整语言、式子、图形或图表说明依据。</x:v>
      </x:c>
      <x:c r="E94" s="25" t="str">
        <x:v>目标2：Q3、Q4共7分，达到5分视为达成。</x:v>
      </x:c>
      <x:c r="F94" s="25" t="str">
        <x:v>学案Q题、课堂练习、当堂检测与过程观察</x:v>
      </x:c>
      <x:c r="G94" s="25" t="str">
        <x:v>通过</x:v>
      </x:c>
    </x:row>
    <x:row r="95" ht="42" customHeight="1">
      <x:c r="A95" s="25" t="str">
        <x:v>C09-L02</x:v>
      </x:c>
      <x:c r="B95" s="25" t="str">
        <x:v>用坐标描述图形和位置</x:v>
      </x:c>
      <x:c r="C95" s="25" t="n">
        <x:v>3</x:v>
      </x:c>
      <x:c r="D95" s="25" t="str">
        <x:v>在基础与变式练习中运用“选择原点和坐标轴简化坐标”解决同类问题，并对结果进行检验。</x:v>
      </x:c>
      <x:c r="E95" s="25" t="str">
        <x:v>目标3：Q5—Q8共14分，达到11分视为达成。</x:v>
      </x:c>
      <x:c r="F95" s="25" t="str">
        <x:v>学案Q题、课堂练习、当堂检测与过程观察</x:v>
      </x:c>
      <x:c r="G95" s="25" t="str">
        <x:v>通过</x:v>
      </x:c>
    </x:row>
    <x:row r="96" ht="42" customHeight="1">
      <x:c r="A96" s="25" t="str">
        <x:v>C09-L02</x:v>
      </x:c>
      <x:c r="B96" s="25" t="str">
        <x:v>用坐标描述图形和位置</x:v>
      </x:c>
      <x:c r="C96" s="25" t="n">
        <x:v>4</x:v>
      </x:c>
      <x:c r="D96" s="25" t="str">
        <x:v>在合作探究和互评中形成先审条件、再选方法、规范表达、主动复核的学习习惯。</x:v>
      </x:c>
      <x:c r="E96" s="25" t="str">
        <x:v>过程评价：记录完整、交流有依据、订正能说明错误原因。</x:v>
      </x:c>
      <x:c r="F96" s="25" t="str">
        <x:v>学案Q题、课堂练习、当堂检测与过程观察</x:v>
      </x:c>
      <x:c r="G96" s="25" t="str">
        <x:v>通过</x:v>
      </x:c>
    </x:row>
    <x:row r="97" ht="42" customHeight="1">
      <x:c r="A97" s="25" t="str">
        <x:v>C09-L03</x:v>
      </x:c>
      <x:c r="B97" s="25" t="str">
        <x:v>用方向和距离描述位置</x:v>
      </x:c>
      <x:c r="C97" s="25" t="n">
        <x:v>1</x:v>
      </x:c>
      <x:c r="D97" s="25" t="str">
        <x:v>通过阅读、观察或操作，准确说出位置描述、方位角、方向与距离的含义、表示或基本步骤。</x:v>
      </x:c>
      <x:c r="E97" s="25" t="str">
        <x:v>目标1：Q1、Q2共5分，达到4分视为达成。</x:v>
      </x:c>
      <x:c r="F97" s="25" t="str">
        <x:v>学案Q题、课堂练习、当堂检测与过程观察</x:v>
      </x:c>
      <x:c r="G97" s="25" t="str">
        <x:v>通过</x:v>
      </x:c>
    </x:row>
    <x:row r="98" ht="42" customHeight="1">
      <x:c r="A98" s="25" t="str">
        <x:v>C09-L03</x:v>
      </x:c>
      <x:c r="B98" s="25" t="str">
        <x:v>用方向和距离描述位置</x:v>
      </x:c>
      <x:c r="C98" s="25" t="n">
        <x:v>2</x:v>
      </x:c>
      <x:c r="D98" s="25" t="str">
        <x:v>在Q2—Q4中运用“用方向和距离唯一确定位置”，能用完整语言、式子、图形或图表说明依据。</x:v>
      </x:c>
      <x:c r="E98" s="25" t="str">
        <x:v>目标2：Q3、Q4共7分，达到5分视为达成。</x:v>
      </x:c>
      <x:c r="F98" s="25" t="str">
        <x:v>学案Q题、课堂练习、当堂检测与过程观察</x:v>
      </x:c>
      <x:c r="G98" s="25" t="str">
        <x:v>通过</x:v>
      </x:c>
    </x:row>
    <x:row r="99" ht="42" customHeight="1">
      <x:c r="A99" s="25" t="str">
        <x:v>C09-L03</x:v>
      </x:c>
      <x:c r="B99" s="25" t="str">
        <x:v>用方向和距离描述位置</x:v>
      </x:c>
      <x:c r="C99" s="25" t="n">
        <x:v>3</x:v>
      </x:c>
      <x:c r="D99" s="25" t="str">
        <x:v>在基础与变式练习中运用“用方向和距离唯一确定位置”解决同类问题，并对结果进行检验。</x:v>
      </x:c>
      <x:c r="E99" s="25" t="str">
        <x:v>目标3：Q5—Q8共14分，达到11分视为达成。</x:v>
      </x:c>
      <x:c r="F99" s="25" t="str">
        <x:v>学案Q题、课堂练习、当堂检测与过程观察</x:v>
      </x:c>
      <x:c r="G99" s="25" t="str">
        <x:v>通过</x:v>
      </x:c>
    </x:row>
    <x:row r="100" ht="42" customHeight="1">
      <x:c r="A100" s="25" t="str">
        <x:v>C09-L03</x:v>
      </x:c>
      <x:c r="B100" s="25" t="str">
        <x:v>用方向和距离描述位置</x:v>
      </x:c>
      <x:c r="C100" s="25" t="n">
        <x:v>4</x:v>
      </x:c>
      <x:c r="D100" s="25" t="str">
        <x:v>在合作探究和互评中形成先审条件、再选方法、规范表达、主动复核的学习习惯。</x:v>
      </x:c>
      <x:c r="E100" s="25" t="str">
        <x:v>过程评价：记录完整、交流有依据、订正能说明错误原因。</x:v>
      </x:c>
      <x:c r="F100" s="25" t="str">
        <x:v>学案Q题、课堂练习、当堂检测与过程观察</x:v>
      </x:c>
      <x:c r="G100" s="25" t="str">
        <x:v>通过</x:v>
      </x:c>
    </x:row>
    <x:row r="101" ht="42" customHeight="1">
      <x:c r="A101" s="25" t="str">
        <x:v>C09-L04</x:v>
      </x:c>
      <x:c r="B101" s="25" t="str">
        <x:v>点的平移与坐标变化</x:v>
      </x:c>
      <x:c r="C101" s="25" t="n">
        <x:v>1</x:v>
      </x:c>
      <x:c r="D101" s="25" t="str">
        <x:v>通过阅读、观察或操作，准确说出点左右平移横坐标变化、点上下平移纵坐标变化、图形连续平移的含义、表示或基本步骤。</x:v>
      </x:c>
      <x:c r="E101" s="25" t="str">
        <x:v>目标1：Q1、Q2共5分，达到4分视为达成。</x:v>
      </x:c>
      <x:c r="F101" s="25" t="str">
        <x:v>学案Q题、课堂练习、当堂检测与过程观察</x:v>
      </x:c>
      <x:c r="G101" s="25" t="str">
        <x:v>通过</x:v>
      </x:c>
    </x:row>
    <x:row r="102" ht="42" customHeight="1">
      <x:c r="A102" s="25" t="str">
        <x:v>C09-L04</x:v>
      </x:c>
      <x:c r="B102" s="25" t="str">
        <x:v>点的平移与坐标变化</x:v>
      </x:c>
      <x:c r="C102" s="25" t="n">
        <x:v>2</x:v>
      </x:c>
      <x:c r="D102" s="25" t="str">
        <x:v>在Q2—Q4中运用“由平移方向和距离写出新坐标”，能用完整语言、式子、图形或图表说明依据。</x:v>
      </x:c>
      <x:c r="E102" s="25" t="str">
        <x:v>目标2：Q3、Q4共7分，达到5分视为达成。</x:v>
      </x:c>
      <x:c r="F102" s="25" t="str">
        <x:v>学案Q题、课堂练习、当堂检测与过程观察</x:v>
      </x:c>
      <x:c r="G102" s="25" t="str">
        <x:v>通过</x:v>
      </x:c>
    </x:row>
    <x:row r="103" ht="42" customHeight="1">
      <x:c r="A103" s="25" t="str">
        <x:v>C09-L04</x:v>
      </x:c>
      <x:c r="B103" s="25" t="str">
        <x:v>点的平移与坐标变化</x:v>
      </x:c>
      <x:c r="C103" s="25" t="n">
        <x:v>3</x:v>
      </x:c>
      <x:c r="D103" s="25" t="str">
        <x:v>在基础与变式练习中运用“由平移方向和距离写出新坐标”解决同类问题，并对结果进行检验。</x:v>
      </x:c>
      <x:c r="E103" s="25" t="str">
        <x:v>目标3：Q5—Q8共14分，达到11分视为达成。</x:v>
      </x:c>
      <x:c r="F103" s="25" t="str">
        <x:v>学案Q题、课堂练习、当堂检测与过程观察</x:v>
      </x:c>
      <x:c r="G103" s="25" t="str">
        <x:v>通过</x:v>
      </x:c>
    </x:row>
    <x:row r="104" ht="42" customHeight="1">
      <x:c r="A104" s="25" t="str">
        <x:v>C09-L04</x:v>
      </x:c>
      <x:c r="B104" s="25" t="str">
        <x:v>点的平移与坐标变化</x:v>
      </x:c>
      <x:c r="C104" s="25" t="n">
        <x:v>4</x:v>
      </x:c>
      <x:c r="D104" s="25" t="str">
        <x:v>在合作探究和互评中形成先审条件、再选方法、规范表达、主动复核的学习习惯。</x:v>
      </x:c>
      <x:c r="E104" s="25" t="str">
        <x:v>过程评价：记录完整、交流有依据、订正能说明错误原因。</x:v>
      </x:c>
      <x:c r="F104" s="25" t="str">
        <x:v>学案Q题、课堂练习、当堂检测与过程观察</x:v>
      </x:c>
      <x:c r="G104" s="25" t="str">
        <x:v>通过</x:v>
      </x:c>
    </x:row>
    <x:row r="105" ht="42" customHeight="1">
      <x:c r="A105" s="25" t="str">
        <x:v>C09-L05</x:v>
      </x:c>
      <x:c r="B105" s="25" t="str">
        <x:v>坐标变化与图形平移</x:v>
      </x:c>
      <x:c r="C105" s="25" t="n">
        <x:v>1</x:v>
      </x:c>
      <x:c r="D105" s="25" t="str">
        <x:v>通过阅读、观察或操作，准确说出整体坐标变化、图形平移方向与距离、坐标方法应用的含义、表示或基本步骤。</x:v>
      </x:c>
      <x:c r="E105" s="25" t="str">
        <x:v>目标1：Q1、Q2共5分，达到4分视为达成。</x:v>
      </x:c>
      <x:c r="F105" s="25" t="str">
        <x:v>学案Q题、课堂练习、当堂检测与过程观察</x:v>
      </x:c>
      <x:c r="G105" s="25" t="str">
        <x:v>通过</x:v>
      </x:c>
    </x:row>
    <x:row r="106" ht="42" customHeight="1">
      <x:c r="A106" s="25" t="str">
        <x:v>C09-L05</x:v>
      </x:c>
      <x:c r="B106" s="25" t="str">
        <x:v>坐标变化与图形平移</x:v>
      </x:c>
      <x:c r="C106" s="25" t="n">
        <x:v>2</x:v>
      </x:c>
      <x:c r="D106" s="25" t="str">
        <x:v>在Q2—Q4中运用“由顶点坐标变化判断图形平移”，能用完整语言、式子、图形或图表说明依据。</x:v>
      </x:c>
      <x:c r="E106" s="25" t="str">
        <x:v>目标2：Q3、Q4共7分，达到5分视为达成。</x:v>
      </x:c>
      <x:c r="F106" s="25" t="str">
        <x:v>学案Q题、课堂练习、当堂检测与过程观察</x:v>
      </x:c>
      <x:c r="G106" s="25" t="str">
        <x:v>通过</x:v>
      </x:c>
    </x:row>
    <x:row r="107" ht="42" customHeight="1">
      <x:c r="A107" s="25" t="str">
        <x:v>C09-L05</x:v>
      </x:c>
      <x:c r="B107" s="25" t="str">
        <x:v>坐标变化与图形平移</x:v>
      </x:c>
      <x:c r="C107" s="25" t="n">
        <x:v>3</x:v>
      </x:c>
      <x:c r="D107" s="25" t="str">
        <x:v>在基础与变式练习中运用“由顶点坐标变化判断图形平移”解决同类问题，并对结果进行检验。</x:v>
      </x:c>
      <x:c r="E107" s="25" t="str">
        <x:v>目标3：Q5—Q8共14分，达到11分视为达成。</x:v>
      </x:c>
      <x:c r="F107" s="25" t="str">
        <x:v>学案Q题、课堂练习、当堂检测与过程观察</x:v>
      </x:c>
      <x:c r="G107" s="25" t="str">
        <x:v>通过</x:v>
      </x:c>
    </x:row>
    <x:row r="108" ht="42" customHeight="1">
      <x:c r="A108" s="25" t="str">
        <x:v>C09-L05</x:v>
      </x:c>
      <x:c r="B108" s="25" t="str">
        <x:v>坐标变化与图形平移</x:v>
      </x:c>
      <x:c r="C108" s="25" t="n">
        <x:v>4</x:v>
      </x:c>
      <x:c r="D108" s="25" t="str">
        <x:v>在合作探究和互评中形成先审条件、再选方法、规范表达、主动复核的学习习惯。</x:v>
      </x:c>
      <x:c r="E108" s="25" t="str">
        <x:v>过程评价：记录完整、交流有依据、订正能说明错误原因。</x:v>
      </x:c>
      <x:c r="F108" s="25" t="str">
        <x:v>学案Q题、课堂练习、当堂检测与过程观察</x:v>
      </x:c>
      <x:c r="G108" s="25" t="str">
        <x:v>通过</x:v>
      </x:c>
    </x:row>
    <x:row r="109" ht="42" customHeight="1">
      <x:c r="A109" s="25" t="str">
        <x:v>C09-L06</x:v>
      </x:c>
      <x:c r="B109" s="25" t="str">
        <x:v>平面直角坐标系数学活动</x:v>
      </x:c>
      <x:c r="C109" s="25" t="n">
        <x:v>1</x:v>
      </x:c>
      <x:c r="D109" s="25" t="str">
        <x:v>通过阅读、观察或操作，准确说出坐标确定位置、坐标变化规律的含义、表示或基本步骤。</x:v>
      </x:c>
      <x:c r="E109" s="25" t="str">
        <x:v>目标1：Q1、Q2共5分，达到4分视为达成。</x:v>
      </x:c>
      <x:c r="F109" s="25" t="str">
        <x:v>学案Q题、课堂练习、当堂检测与过程观察</x:v>
      </x:c>
      <x:c r="G109" s="25" t="str">
        <x:v>通过</x:v>
      </x:c>
    </x:row>
    <x:row r="110" ht="42" customHeight="1">
      <x:c r="A110" s="25" t="str">
        <x:v>C09-L06</x:v>
      </x:c>
      <x:c r="B110" s="25" t="str">
        <x:v>平面直角坐标系数学活动</x:v>
      </x:c>
      <x:c r="C110" s="25" t="n">
        <x:v>2</x:v>
      </x:c>
      <x:c r="D110" s="25" t="str">
        <x:v>在Q2—Q4中运用“用坐标方法完成活动并解释结果”，能用完整语言、式子、图形或图表说明依据。</x:v>
      </x:c>
      <x:c r="E110" s="25" t="str">
        <x:v>目标2：Q3、Q4共7分，达到5分视为达成。</x:v>
      </x:c>
      <x:c r="F110" s="25" t="str">
        <x:v>学案Q题、课堂练习、当堂检测与过程观察</x:v>
      </x:c>
      <x:c r="G110" s="25" t="str">
        <x:v>通过</x:v>
      </x:c>
    </x:row>
    <x:row r="111" ht="42" customHeight="1">
      <x:c r="A111" s="25" t="str">
        <x:v>C09-L06</x:v>
      </x:c>
      <x:c r="B111" s="25" t="str">
        <x:v>平面直角坐标系数学活动</x:v>
      </x:c>
      <x:c r="C111" s="25" t="n">
        <x:v>3</x:v>
      </x:c>
      <x:c r="D111" s="25" t="str">
        <x:v>在基础与变式练习中运用“用坐标方法完成活动并解释结果”解决同类问题，并对结果进行检验。</x:v>
      </x:c>
      <x:c r="E111" s="25" t="str">
        <x:v>目标3：Q5—Q8共14分，达到11分视为达成。</x:v>
      </x:c>
      <x:c r="F111" s="25" t="str">
        <x:v>学案Q题、课堂练习、当堂检测与过程观察</x:v>
      </x:c>
      <x:c r="G111" s="25" t="str">
        <x:v>通过</x:v>
      </x:c>
    </x:row>
    <x:row r="112" ht="42" customHeight="1">
      <x:c r="A112" s="25" t="str">
        <x:v>C09-L06</x:v>
      </x:c>
      <x:c r="B112" s="25" t="str">
        <x:v>平面直角坐标系数学活动</x:v>
      </x:c>
      <x:c r="C112" s="25" t="n">
        <x:v>4</x:v>
      </x:c>
      <x:c r="D112" s="25" t="str">
        <x:v>在合作探究和互评中形成先审条件、再选方法、规范表达、主动复核的学习习惯。</x:v>
      </x:c>
      <x:c r="E112" s="25" t="str">
        <x:v>过程评价：记录完整、交流有依据、订正能说明错误原因。</x:v>
      </x:c>
      <x:c r="F112" s="25" t="str">
        <x:v>学案Q题、课堂练习、当堂检测与过程观察</x:v>
      </x:c>
      <x:c r="G112" s="25" t="str">
        <x:v>通过</x:v>
      </x:c>
    </x:row>
    <x:row r="113" ht="42" customHeight="1">
      <x:c r="A113" s="25" t="str">
        <x:v>C09-L07</x:v>
      </x:c>
      <x:c r="B113" s="25" t="str">
        <x:v>平面直角坐标系章末复习</x:v>
      </x:c>
      <x:c r="C113" s="25" t="n">
        <x:v>1</x:v>
      </x:c>
      <x:c r="D113" s="25" t="str">
        <x:v>通过阅读、观察或操作，准确说出点的坐标、坐标描述位置、坐标与平移的含义、表示或基本步骤。</x:v>
      </x:c>
      <x:c r="E113" s="25" t="str">
        <x:v>目标1：Q1、Q2共5分，达到4分视为达成。</x:v>
      </x:c>
      <x:c r="F113" s="25" t="str">
        <x:v>学案Q题、课堂练习、当堂检测与过程观察</x:v>
      </x:c>
      <x:c r="G113" s="25" t="str">
        <x:v>通过</x:v>
      </x:c>
    </x:row>
    <x:row r="114" ht="42" customHeight="1">
      <x:c r="A114" s="25" t="str">
        <x:v>C09-L07</x:v>
      </x:c>
      <x:c r="B114" s="25" t="str">
        <x:v>平面直角坐标系章末复习</x:v>
      </x:c>
      <x:c r="C114" s="25" t="n">
        <x:v>2</x:v>
      </x:c>
      <x:c r="D114" s="25" t="str">
        <x:v>在Q2—Q4中运用“建立“位置—坐标—变化”知识结构”，能用完整语言、式子、图形或图表说明依据。</x:v>
      </x:c>
      <x:c r="E114" s="25" t="str">
        <x:v>目标2：Q3、Q4共7分，达到5分视为达成。</x:v>
      </x:c>
      <x:c r="F114" s="25" t="str">
        <x:v>学案Q题、课堂练习、当堂检测与过程观察</x:v>
      </x:c>
      <x:c r="G114" s="25" t="str">
        <x:v>通过</x:v>
      </x:c>
    </x:row>
    <x:row r="115" ht="42" customHeight="1">
      <x:c r="A115" s="25" t="str">
        <x:v>C09-L07</x:v>
      </x:c>
      <x:c r="B115" s="25" t="str">
        <x:v>平面直角坐标系章末复习</x:v>
      </x:c>
      <x:c r="C115" s="25" t="n">
        <x:v>3</x:v>
      </x:c>
      <x:c r="D115" s="25" t="str">
        <x:v>在基础与变式练习中运用“建立“位置—坐标—变化”知识结构”解决同类问题，并对结果进行检验。</x:v>
      </x:c>
      <x:c r="E115" s="25" t="str">
        <x:v>目标3：Q5—Q8共14分，达到11分视为达成。</x:v>
      </x:c>
      <x:c r="F115" s="25" t="str">
        <x:v>学案Q题、课堂练习、当堂检测与过程观察</x:v>
      </x:c>
      <x:c r="G115" s="25" t="str">
        <x:v>通过</x:v>
      </x:c>
    </x:row>
    <x:row r="116" ht="42" customHeight="1">
      <x:c r="A116" s="25" t="str">
        <x:v>C09-L07</x:v>
      </x:c>
      <x:c r="B116" s="25" t="str">
        <x:v>平面直角坐标系章末复习</x:v>
      </x:c>
      <x:c r="C116" s="25" t="n">
        <x:v>4</x:v>
      </x:c>
      <x:c r="D116" s="25" t="str">
        <x:v>在合作探究和互评中形成先审条件、再选方法、规范表达、主动复核的学习习惯。</x:v>
      </x:c>
      <x:c r="E116" s="25" t="str">
        <x:v>过程评价：记录完整、交流有依据、订正能说明错误原因。</x:v>
      </x:c>
      <x:c r="F116" s="25" t="str">
        <x:v>学案Q题、课堂练习、当堂检测与过程观察</x:v>
      </x:c>
      <x:c r="G116" s="25" t="str">
        <x:v>通过</x:v>
      </x:c>
    </x:row>
    <x:row r="117" ht="42" customHeight="1">
      <x:c r="A117" s="25" t="str">
        <x:v>C10-L01</x:v>
      </x:c>
      <x:c r="B117" s="25" t="str">
        <x:v>二元一次方程组的概念</x:v>
      </x:c>
      <x:c r="C117" s="25" t="n">
        <x:v>1</x:v>
      </x:c>
      <x:c r="D117" s="25" t="str">
        <x:v>通过阅读、观察或操作，准确说出二元一次方程、二元一次方程组、方程组的解的含义、表示或基本步骤。</x:v>
      </x:c>
      <x:c r="E117" s="25" t="str">
        <x:v>目标1：Q1、Q2共5分，达到4分视为达成。</x:v>
      </x:c>
      <x:c r="F117" s="25" t="str">
        <x:v>学案Q题、课堂练习、当堂检测与过程观察</x:v>
      </x:c>
      <x:c r="G117" s="25" t="str">
        <x:v>通过</x:v>
      </x:c>
    </x:row>
    <x:row r="118" ht="42" customHeight="1">
      <x:c r="A118" s="25" t="str">
        <x:v>C10-L01</x:v>
      </x:c>
      <x:c r="B118" s="25" t="str">
        <x:v>二元一次方程组的概念</x:v>
      </x:c>
      <x:c r="C118" s="25" t="n">
        <x:v>2</x:v>
      </x:c>
      <x:c r="D118" s="25" t="str">
        <x:v>在Q2—Q4中运用“识别二元一次方程组并检验解”，能用完整语言、式子、图形或图表说明依据。</x:v>
      </x:c>
      <x:c r="E118" s="25" t="str">
        <x:v>目标2：Q3、Q4共7分，达到5分视为达成。</x:v>
      </x:c>
      <x:c r="F118" s="25" t="str">
        <x:v>学案Q题、课堂练习、当堂检测与过程观察</x:v>
      </x:c>
      <x:c r="G118" s="25" t="str">
        <x:v>通过</x:v>
      </x:c>
    </x:row>
    <x:row r="119" ht="42" customHeight="1">
      <x:c r="A119" s="25" t="str">
        <x:v>C10-L01</x:v>
      </x:c>
      <x:c r="B119" s="25" t="str">
        <x:v>二元一次方程组的概念</x:v>
      </x:c>
      <x:c r="C119" s="25" t="n">
        <x:v>3</x:v>
      </x:c>
      <x:c r="D119" s="25" t="str">
        <x:v>在基础与变式练习中运用“识别二元一次方程组并检验解”解决同类问题，并对结果进行检验。</x:v>
      </x:c>
      <x:c r="E119" s="25" t="str">
        <x:v>目标3：Q5—Q8共14分，达到11分视为达成。</x:v>
      </x:c>
      <x:c r="F119" s="25" t="str">
        <x:v>学案Q题、课堂练习、当堂检测与过程观察</x:v>
      </x:c>
      <x:c r="G119" s="25" t="str">
        <x:v>通过</x:v>
      </x:c>
    </x:row>
    <x:row r="120" ht="42" customHeight="1">
      <x:c r="A120" s="25" t="str">
        <x:v>C10-L01</x:v>
      </x:c>
      <x:c r="B120" s="25" t="str">
        <x:v>二元一次方程组的概念</x:v>
      </x:c>
      <x:c r="C120" s="25" t="n">
        <x:v>4</x:v>
      </x:c>
      <x:c r="D120" s="25" t="str">
        <x:v>在合作探究和互评中形成先审条件、再选方法、规范表达、主动复核的学习习惯。</x:v>
      </x:c>
      <x:c r="E120" s="25" t="str">
        <x:v>过程评价：记录完整、交流有依据、订正能说明错误原因。</x:v>
      </x:c>
      <x:c r="F120" s="25" t="str">
        <x:v>学案Q题、课堂练习、当堂检测与过程观察</x:v>
      </x:c>
      <x:c r="G120" s="25" t="str">
        <x:v>通过</x:v>
      </x:c>
    </x:row>
    <x:row r="121" ht="42" customHeight="1">
      <x:c r="A121" s="25" t="str">
        <x:v>C10-L02</x:v>
      </x:c>
      <x:c r="B121" s="25" t="str">
        <x:v>代入消元法</x:v>
      </x:c>
      <x:c r="C121" s="25" t="n">
        <x:v>1</x:v>
      </x:c>
      <x:c r="D121" s="25" t="str">
        <x:v>通过阅读、观察或操作，准确说出消元思想、代入消元法、代入法步骤的含义、表示或基本步骤。</x:v>
      </x:c>
      <x:c r="E121" s="25" t="str">
        <x:v>目标1：Q1、Q2共5分，达到4分视为达成。</x:v>
      </x:c>
      <x:c r="F121" s="25" t="str">
        <x:v>学案Q题、课堂练习、当堂检测与过程观察</x:v>
      </x:c>
      <x:c r="G121" s="25" t="str">
        <x:v>通过</x:v>
      </x:c>
    </x:row>
    <x:row r="122" ht="42" customHeight="1">
      <x:c r="A122" s="25" t="str">
        <x:v>C10-L02</x:v>
      </x:c>
      <x:c r="B122" s="25" t="str">
        <x:v>代入消元法</x:v>
      </x:c>
      <x:c r="C122" s="25" t="n">
        <x:v>2</x:v>
      </x:c>
      <x:c r="D122" s="25" t="str">
        <x:v>在Q2—Q4中运用“选取易表示的未知数完成代入”，能用完整语言、式子、图形或图表说明依据。</x:v>
      </x:c>
      <x:c r="E122" s="25" t="str">
        <x:v>目标2：Q3、Q4共7分，达到5分视为达成。</x:v>
      </x:c>
      <x:c r="F122" s="25" t="str">
        <x:v>学案Q题、课堂练习、当堂检测与过程观察</x:v>
      </x:c>
      <x:c r="G122" s="25" t="str">
        <x:v>通过</x:v>
      </x:c>
    </x:row>
    <x:row r="123" ht="42" customHeight="1">
      <x:c r="A123" s="25" t="str">
        <x:v>C10-L02</x:v>
      </x:c>
      <x:c r="B123" s="25" t="str">
        <x:v>代入消元法</x:v>
      </x:c>
      <x:c r="C123" s="25" t="n">
        <x:v>3</x:v>
      </x:c>
      <x:c r="D123" s="25" t="str">
        <x:v>在基础与变式练习中运用“选取易表示的未知数完成代入”解决同类问题，并对结果进行检验。</x:v>
      </x:c>
      <x:c r="E123" s="25" t="str">
        <x:v>目标3：Q5—Q8共14分，达到11分视为达成。</x:v>
      </x:c>
      <x:c r="F123" s="25" t="str">
        <x:v>学案Q题、课堂练习、当堂检测与过程观察</x:v>
      </x:c>
      <x:c r="G123" s="25" t="str">
        <x:v>通过</x:v>
      </x:c>
    </x:row>
    <x:row r="124" ht="42" customHeight="1">
      <x:c r="A124" s="25" t="str">
        <x:v>C10-L02</x:v>
      </x:c>
      <x:c r="B124" s="25" t="str">
        <x:v>代入消元法</x:v>
      </x:c>
      <x:c r="C124" s="25" t="n">
        <x:v>4</x:v>
      </x:c>
      <x:c r="D124" s="25" t="str">
        <x:v>在合作探究和互评中形成先审条件、再选方法、规范表达、主动复核的学习习惯。</x:v>
      </x:c>
      <x:c r="E124" s="25" t="str">
        <x:v>过程评价：记录完整、交流有依据、订正能说明错误原因。</x:v>
      </x:c>
      <x:c r="F124" s="25" t="str">
        <x:v>学案Q题、课堂练习、当堂检测与过程观察</x:v>
      </x:c>
      <x:c r="G124" s="25" t="str">
        <x:v>通过</x:v>
      </x:c>
    </x:row>
    <x:row r="125" ht="42" customHeight="1">
      <x:c r="A125" s="25" t="str">
        <x:v>C10-L03</x:v>
      </x:c>
      <x:c r="B125" s="25" t="str">
        <x:v>加减消元法的基本应用</x:v>
      </x:c>
      <x:c r="C125" s="25" t="n">
        <x:v>1</x:v>
      </x:c>
      <x:c r="D125" s="25" t="str">
        <x:v>通过阅读、观察或操作，准确说出加减消元法、系数相等或互为相反数时消元的含义、表示或基本步骤。</x:v>
      </x:c>
      <x:c r="E125" s="25" t="str">
        <x:v>目标1：Q1、Q2共5分，达到4分视为达成。</x:v>
      </x:c>
      <x:c r="F125" s="25" t="str">
        <x:v>学案Q题、课堂练习、当堂检测与过程观察</x:v>
      </x:c>
      <x:c r="G125" s="25" t="str">
        <x:v>通过</x:v>
      </x:c>
    </x:row>
    <x:row r="126" ht="42" customHeight="1">
      <x:c r="A126" s="25" t="str">
        <x:v>C10-L03</x:v>
      </x:c>
      <x:c r="B126" s="25" t="str">
        <x:v>加减消元法的基本应用</x:v>
      </x:c>
      <x:c r="C126" s="25" t="n">
        <x:v>2</x:v>
      </x:c>
      <x:c r="D126" s="25" t="str">
        <x:v>在Q2—Q4中运用“判断相加还是相减”，能用完整语言、式子、图形或图表说明依据。</x:v>
      </x:c>
      <x:c r="E126" s="25" t="str">
        <x:v>目标2：Q3、Q4共7分，达到5分视为达成。</x:v>
      </x:c>
      <x:c r="F126" s="25" t="str">
        <x:v>学案Q题、课堂练习、当堂检测与过程观察</x:v>
      </x:c>
      <x:c r="G126" s="25" t="str">
        <x:v>通过</x:v>
      </x:c>
    </x:row>
    <x:row r="127" ht="42" customHeight="1">
      <x:c r="A127" s="25" t="str">
        <x:v>C10-L03</x:v>
      </x:c>
      <x:c r="B127" s="25" t="str">
        <x:v>加减消元法的基本应用</x:v>
      </x:c>
      <x:c r="C127" s="25" t="n">
        <x:v>3</x:v>
      </x:c>
      <x:c r="D127" s="25" t="str">
        <x:v>在基础与变式练习中运用“判断相加还是相减”解决同类问题，并对结果进行检验。</x:v>
      </x:c>
      <x:c r="E127" s="25" t="str">
        <x:v>目标3：Q5—Q8共14分，达到11分视为达成。</x:v>
      </x:c>
      <x:c r="F127" s="25" t="str">
        <x:v>学案Q题、课堂练习、当堂检测与过程观察</x:v>
      </x:c>
      <x:c r="G127" s="25" t="str">
        <x:v>通过</x:v>
      </x:c>
    </x:row>
    <x:row r="128" ht="42" customHeight="1">
      <x:c r="A128" s="25" t="str">
        <x:v>C10-L03</x:v>
      </x:c>
      <x:c r="B128" s="25" t="str">
        <x:v>加减消元法的基本应用</x:v>
      </x:c>
      <x:c r="C128" s="25" t="n">
        <x:v>4</x:v>
      </x:c>
      <x:c r="D128" s="25" t="str">
        <x:v>在合作探究和互评中形成先审条件、再选方法、规范表达、主动复核的学习习惯。</x:v>
      </x:c>
      <x:c r="E128" s="25" t="str">
        <x:v>过程评价：记录完整、交流有依据、订正能说明错误原因。</x:v>
      </x:c>
      <x:c r="F128" s="25" t="str">
        <x:v>学案Q题、课堂练习、当堂检测与过程观察</x:v>
      </x:c>
      <x:c r="G128" s="25" t="str">
        <x:v>通过</x:v>
      </x:c>
    </x:row>
    <x:row r="129" ht="42" customHeight="1">
      <x:c r="A129" s="25" t="str">
        <x:v>C10-L04</x:v>
      </x:c>
      <x:c r="B129" s="25" t="str">
        <x:v>加减消元法的灵活应用</x:v>
      </x:c>
      <x:c r="C129" s="25" t="n">
        <x:v>1</x:v>
      </x:c>
      <x:c r="D129" s="25" t="str">
        <x:v>通过阅读、观察或操作，准确说出方程倍乘后消元、消元方法选择、二元一次方程组应用的含义、表示或基本步骤。</x:v>
      </x:c>
      <x:c r="E129" s="25" t="str">
        <x:v>目标1：Q1、Q2共5分，达到4分视为达成。</x:v>
      </x:c>
      <x:c r="F129" s="25" t="str">
        <x:v>学案Q题、课堂练习、当堂检测与过程观察</x:v>
      </x:c>
      <x:c r="G129" s="25" t="str">
        <x:v>通过</x:v>
      </x:c>
    </x:row>
    <x:row r="130" ht="42" customHeight="1">
      <x:c r="A130" s="25" t="str">
        <x:v>C10-L04</x:v>
      </x:c>
      <x:c r="B130" s="25" t="str">
        <x:v>加减消元法的灵活应用</x:v>
      </x:c>
      <x:c r="C130" s="25" t="n">
        <x:v>2</x:v>
      </x:c>
      <x:c r="D130" s="25" t="str">
        <x:v>在Q2—Q4中运用“构造相等或相反系数”，能用完整语言、式子、图形或图表说明依据。</x:v>
      </x:c>
      <x:c r="E130" s="25" t="str">
        <x:v>目标2：Q3、Q4共7分，达到5分视为达成。</x:v>
      </x:c>
      <x:c r="F130" s="25" t="str">
        <x:v>学案Q题、课堂练习、当堂检测与过程观察</x:v>
      </x:c>
      <x:c r="G130" s="25" t="str">
        <x:v>通过</x:v>
      </x:c>
    </x:row>
    <x:row r="131" ht="42" customHeight="1">
      <x:c r="A131" s="25" t="str">
        <x:v>C10-L04</x:v>
      </x:c>
      <x:c r="B131" s="25" t="str">
        <x:v>加减消元法的灵活应用</x:v>
      </x:c>
      <x:c r="C131" s="25" t="n">
        <x:v>3</x:v>
      </x:c>
      <x:c r="D131" s="25" t="str">
        <x:v>在基础与变式练习中运用“构造相等或相反系数”解决同类问题，并对结果进行检验。</x:v>
      </x:c>
      <x:c r="E131" s="25" t="str">
        <x:v>目标3：Q5—Q8共14分，达到11分视为达成。</x:v>
      </x:c>
      <x:c r="F131" s="25" t="str">
        <x:v>学案Q题、课堂练习、当堂检测与过程观察</x:v>
      </x:c>
      <x:c r="G131" s="25" t="str">
        <x:v>通过</x:v>
      </x:c>
    </x:row>
    <x:row r="132" ht="42" customHeight="1">
      <x:c r="A132" s="25" t="str">
        <x:v>C10-L04</x:v>
      </x:c>
      <x:c r="B132" s="25" t="str">
        <x:v>加减消元法的灵活应用</x:v>
      </x:c>
      <x:c r="C132" s="25" t="n">
        <x:v>4</x:v>
      </x:c>
      <x:c r="D132" s="25" t="str">
        <x:v>在合作探究和互评中形成先审条件、再选方法、规范表达、主动复核的学习习惯。</x:v>
      </x:c>
      <x:c r="E132" s="25" t="str">
        <x:v>过程评价：记录完整、交流有依据、订正能说明错误原因。</x:v>
      </x:c>
      <x:c r="F132" s="25" t="str">
        <x:v>学案Q题、课堂练习、当堂检测与过程观察</x:v>
      </x:c>
      <x:c r="G132" s="25" t="str">
        <x:v>通过</x:v>
      </x:c>
    </x:row>
    <x:row r="133" ht="42" customHeight="1">
      <x:c r="A133" s="25" t="str">
        <x:v>C10-L05</x:v>
      </x:c>
      <x:c r="B133" s="25" t="str">
        <x:v>实际问题与二元一次方程组（一）</x:v>
      </x:c>
      <x:c r="C133" s="25" t="n">
        <x:v>1</x:v>
      </x:c>
      <x:c r="D133" s="25" t="str">
        <x:v>通过阅读、观察或操作，准确说出两个未知量的建模、相等关系、检验实际意义的含义、表示或基本步骤。</x:v>
      </x:c>
      <x:c r="E133" s="25" t="str">
        <x:v>目标1：Q1、Q2共5分，达到4分视为达成。</x:v>
      </x:c>
      <x:c r="F133" s="25" t="str">
        <x:v>学案Q题、课堂练习、当堂检测与过程观察</x:v>
      </x:c>
      <x:c r="G133" s="25" t="str">
        <x:v>通过</x:v>
      </x:c>
    </x:row>
    <x:row r="134" ht="42" customHeight="1">
      <x:c r="A134" s="25" t="str">
        <x:v>C10-L05</x:v>
      </x:c>
      <x:c r="B134" s="25" t="str">
        <x:v>实际问题与二元一次方程组（一）</x:v>
      </x:c>
      <x:c r="C134" s="25" t="n">
        <x:v>2</x:v>
      </x:c>
      <x:c r="D134" s="25" t="str">
        <x:v>在Q2—Q4中运用“从两个数量关系列方程组”，能用完整语言、式子、图形或图表说明依据。</x:v>
      </x:c>
      <x:c r="E134" s="25" t="str">
        <x:v>目标2：Q3、Q4共7分，达到5分视为达成。</x:v>
      </x:c>
      <x:c r="F134" s="25" t="str">
        <x:v>学案Q题、课堂练习、当堂检测与过程观察</x:v>
      </x:c>
      <x:c r="G134" s="25" t="str">
        <x:v>通过</x:v>
      </x:c>
    </x:row>
    <x:row r="135" ht="42" customHeight="1">
      <x:c r="A135" s="25" t="str">
        <x:v>C10-L05</x:v>
      </x:c>
      <x:c r="B135" s="25" t="str">
        <x:v>实际问题与二元一次方程组（一）</x:v>
      </x:c>
      <x:c r="C135" s="25" t="n">
        <x:v>3</x:v>
      </x:c>
      <x:c r="D135" s="25" t="str">
        <x:v>在基础与变式练习中运用“从两个数量关系列方程组”解决同类问题，并对结果进行检验。</x:v>
      </x:c>
      <x:c r="E135" s="25" t="str">
        <x:v>目标3：Q5—Q8共14分，达到11分视为达成。</x:v>
      </x:c>
      <x:c r="F135" s="25" t="str">
        <x:v>学案Q题、课堂练习、当堂检测与过程观察</x:v>
      </x:c>
      <x:c r="G135" s="25" t="str">
        <x:v>通过</x:v>
      </x:c>
    </x:row>
    <x:row r="136" ht="42" customHeight="1">
      <x:c r="A136" s="25" t="str">
        <x:v>C10-L05</x:v>
      </x:c>
      <x:c r="B136" s="25" t="str">
        <x:v>实际问题与二元一次方程组（一）</x:v>
      </x:c>
      <x:c r="C136" s="25" t="n">
        <x:v>4</x:v>
      </x:c>
      <x:c r="D136" s="25" t="str">
        <x:v>在合作探究和互评中形成先审条件、再选方法、规范表达、主动复核的学习习惯。</x:v>
      </x:c>
      <x:c r="E136" s="25" t="str">
        <x:v>过程评价：记录完整、交流有依据、订正能说明错误原因。</x:v>
      </x:c>
      <x:c r="F136" s="25" t="str">
        <x:v>学案Q题、课堂练习、当堂检测与过程观察</x:v>
      </x:c>
      <x:c r="G136" s="25" t="str">
        <x:v>通过</x:v>
      </x:c>
    </x:row>
    <x:row r="137" ht="42" customHeight="1">
      <x:c r="A137" s="25" t="str">
        <x:v>C10-L06</x:v>
      </x:c>
      <x:c r="B137" s="25" t="str">
        <x:v>实际问题与二元一次方程组（二）</x:v>
      </x:c>
      <x:c r="C137" s="25" t="n">
        <x:v>1</x:v>
      </x:c>
      <x:c r="D137" s="25" t="str">
        <x:v>通过阅读、观察或操作，准确说出表格建模、费用与产量关系、方程组应用检验的含义、表示或基本步骤。</x:v>
      </x:c>
      <x:c r="E137" s="25" t="str">
        <x:v>目标1：Q1、Q2共5分，达到4分视为达成。</x:v>
      </x:c>
      <x:c r="F137" s="25" t="str">
        <x:v>学案Q题、课堂练习、当堂检测与过程观察</x:v>
      </x:c>
      <x:c r="G137" s="25" t="str">
        <x:v>通过</x:v>
      </x:c>
    </x:row>
    <x:row r="138" ht="42" customHeight="1">
      <x:c r="A138" s="25" t="str">
        <x:v>C10-L06</x:v>
      </x:c>
      <x:c r="B138" s="25" t="str">
        <x:v>实际问题与二元一次方程组（二）</x:v>
      </x:c>
      <x:c r="C138" s="25" t="n">
        <x:v>2</x:v>
      </x:c>
      <x:c r="D138" s="25" t="str">
        <x:v>在Q2—Q4中运用“借助表格整理复杂数量关系”，能用完整语言、式子、图形或图表说明依据。</x:v>
      </x:c>
      <x:c r="E138" s="25" t="str">
        <x:v>目标2：Q3、Q4共7分，达到5分视为达成。</x:v>
      </x:c>
      <x:c r="F138" s="25" t="str">
        <x:v>学案Q题、课堂练习、当堂检测与过程观察</x:v>
      </x:c>
      <x:c r="G138" s="25" t="str">
        <x:v>通过</x:v>
      </x:c>
    </x:row>
    <x:row r="139" ht="42" customHeight="1">
      <x:c r="A139" s="25" t="str">
        <x:v>C10-L06</x:v>
      </x:c>
      <x:c r="B139" s="25" t="str">
        <x:v>实际问题与二元一次方程组（二）</x:v>
      </x:c>
      <x:c r="C139" s="25" t="n">
        <x:v>3</x:v>
      </x:c>
      <x:c r="D139" s="25" t="str">
        <x:v>在基础与变式练习中运用“借助表格整理复杂数量关系”解决同类问题，并对结果进行检验。</x:v>
      </x:c>
      <x:c r="E139" s="25" t="str">
        <x:v>目标3：Q5—Q8共14分，达到11分视为达成。</x:v>
      </x:c>
      <x:c r="F139" s="25" t="str">
        <x:v>学案Q题、课堂练习、当堂检测与过程观察</x:v>
      </x:c>
      <x:c r="G139" s="25" t="str">
        <x:v>通过</x:v>
      </x:c>
    </x:row>
    <x:row r="140" ht="42" customHeight="1">
      <x:c r="A140" s="25" t="str">
        <x:v>C10-L06</x:v>
      </x:c>
      <x:c r="B140" s="25" t="str">
        <x:v>实际问题与二元一次方程组（二）</x:v>
      </x:c>
      <x:c r="C140" s="25" t="n">
        <x:v>4</x:v>
      </x:c>
      <x:c r="D140" s="25" t="str">
        <x:v>在合作探究和互评中形成先审条件、再选方法、规范表达、主动复核的学习习惯。</x:v>
      </x:c>
      <x:c r="E140" s="25" t="str">
        <x:v>过程评价：记录完整、交流有依据、订正能说明错误原因。</x:v>
      </x:c>
      <x:c r="F140" s="25" t="str">
        <x:v>学案Q题、课堂练习、当堂检测与过程观察</x:v>
      </x:c>
      <x:c r="G140" s="25" t="str">
        <x:v>通过</x:v>
      </x:c>
    </x:row>
    <x:row r="141" ht="42" customHeight="1">
      <x:c r="A141" s="25" t="str">
        <x:v>C10-L07</x:v>
      </x:c>
      <x:c r="B141" s="25" t="str">
        <x:v>三元一次方程组的解法</x:v>
      </x:c>
      <x:c r="C141" s="25" t="n">
        <x:v>1</x:v>
      </x:c>
      <x:c r="D141" s="25" t="str">
        <x:v>通过阅读、观察或操作，准确说出三元一次方程组、逐步消元、选学内容的含义、表示或基本步骤。</x:v>
      </x:c>
      <x:c r="E141" s="25" t="str">
        <x:v>目标1：Q1、Q2共5分，达到4分视为达成。</x:v>
      </x:c>
      <x:c r="F141" s="25" t="str">
        <x:v>学案Q题、课堂练习、当堂检测与过程观察</x:v>
      </x:c>
      <x:c r="G141" s="25" t="str">
        <x:v>通过</x:v>
      </x:c>
    </x:row>
    <x:row r="142" ht="42" customHeight="1">
      <x:c r="A142" s="25" t="str">
        <x:v>C10-L07</x:v>
      </x:c>
      <x:c r="B142" s="25" t="str">
        <x:v>三元一次方程组的解法</x:v>
      </x:c>
      <x:c r="C142" s="25" t="n">
        <x:v>2</x:v>
      </x:c>
      <x:c r="D142" s="25" t="str">
        <x:v>在Q2—Q4中运用“把三元方程组转化为二元方程组”，能用完整语言、式子、图形或图表说明依据。</x:v>
      </x:c>
      <x:c r="E142" s="25" t="str">
        <x:v>目标2：Q3、Q4共7分，达到5分视为达成。</x:v>
      </x:c>
      <x:c r="F142" s="25" t="str">
        <x:v>学案Q题、课堂练习、当堂检测与过程观察</x:v>
      </x:c>
      <x:c r="G142" s="25" t="str">
        <x:v>通过</x:v>
      </x:c>
    </x:row>
    <x:row r="143" ht="42" customHeight="1">
      <x:c r="A143" s="25" t="str">
        <x:v>C10-L07</x:v>
      </x:c>
      <x:c r="B143" s="25" t="str">
        <x:v>三元一次方程组的解法</x:v>
      </x:c>
      <x:c r="C143" s="25" t="n">
        <x:v>3</x:v>
      </x:c>
      <x:c r="D143" s="25" t="str">
        <x:v>在基础与变式练习中运用“把三元方程组转化为二元方程组”解决同类问题，并对结果进行检验。</x:v>
      </x:c>
      <x:c r="E143" s="25" t="str">
        <x:v>目标3：Q5—Q8共14分，达到11分视为达成。</x:v>
      </x:c>
      <x:c r="F143" s="25" t="str">
        <x:v>学案Q题、课堂练习、当堂检测与过程观察</x:v>
      </x:c>
      <x:c r="G143" s="25" t="str">
        <x:v>通过</x:v>
      </x:c>
    </x:row>
    <x:row r="144" ht="42" customHeight="1">
      <x:c r="A144" s="25" t="str">
        <x:v>C10-L07</x:v>
      </x:c>
      <x:c r="B144" s="25" t="str">
        <x:v>三元一次方程组的解法</x:v>
      </x:c>
      <x:c r="C144" s="25" t="n">
        <x:v>4</x:v>
      </x:c>
      <x:c r="D144" s="25" t="str">
        <x:v>在合作探究和互评中形成先审条件、再选方法、规范表达、主动复核的学习习惯。</x:v>
      </x:c>
      <x:c r="E144" s="25" t="str">
        <x:v>过程评价：记录完整、交流有依据、订正能说明错误原因。</x:v>
      </x:c>
      <x:c r="F144" s="25" t="str">
        <x:v>学案Q题、课堂练习、当堂检测与过程观察</x:v>
      </x:c>
      <x:c r="G144" s="25" t="str">
        <x:v>通过</x:v>
      </x:c>
    </x:row>
    <x:row r="145" ht="42" customHeight="1">
      <x:c r="A145" s="25" t="str">
        <x:v>C10-L08</x:v>
      </x:c>
      <x:c r="B145" s="25" t="str">
        <x:v>中国古代的多元一次方程组</x:v>
      </x:c>
      <x:c r="C145" s="25" t="n">
        <x:v>1</x:v>
      </x:c>
      <x:c r="D145" s="25" t="str">
        <x:v>通过阅读、观察或操作，准确说出中国古代消元思想、一次不定方程组问题的含义、表示或基本步骤。</x:v>
      </x:c>
      <x:c r="E145" s="25" t="str">
        <x:v>目标1：Q1、Q2共5分，达到4分视为达成。</x:v>
      </x:c>
      <x:c r="F145" s="25" t="str">
        <x:v>学案Q题、课堂练习、当堂检测与过程观察</x:v>
      </x:c>
      <x:c r="G145" s="25" t="str">
        <x:v>通过</x:v>
      </x:c>
    </x:row>
    <x:row r="146" ht="42" customHeight="1">
      <x:c r="A146" s="25" t="str">
        <x:v>C10-L08</x:v>
      </x:c>
      <x:c r="B146" s="25" t="str">
        <x:v>中国古代的多元一次方程组</x:v>
      </x:c>
      <x:c r="C146" s="25" t="n">
        <x:v>2</x:v>
      </x:c>
      <x:c r="D146" s="25" t="str">
        <x:v>在Q2—Q4中运用“用现代语言解释古代算法”，能用完整语言、式子、图形或图表说明依据。</x:v>
      </x:c>
      <x:c r="E146" s="25" t="str">
        <x:v>目标2：Q3、Q4共7分，达到5分视为达成。</x:v>
      </x:c>
      <x:c r="F146" s="25" t="str">
        <x:v>学案Q题、课堂练习、当堂检测与过程观察</x:v>
      </x:c>
      <x:c r="G146" s="25" t="str">
        <x:v>通过</x:v>
      </x:c>
    </x:row>
    <x:row r="147" ht="42" customHeight="1">
      <x:c r="A147" s="25" t="str">
        <x:v>C10-L08</x:v>
      </x:c>
      <x:c r="B147" s="25" t="str">
        <x:v>中国古代的多元一次方程组</x:v>
      </x:c>
      <x:c r="C147" s="25" t="n">
        <x:v>3</x:v>
      </x:c>
      <x:c r="D147" s="25" t="str">
        <x:v>在基础与变式练习中运用“用现代语言解释古代算法”解决同类问题，并对结果进行检验。</x:v>
      </x:c>
      <x:c r="E147" s="25" t="str">
        <x:v>目标3：Q5—Q8共14分，达到11分视为达成。</x:v>
      </x:c>
      <x:c r="F147" s="25" t="str">
        <x:v>学案Q题、课堂练习、当堂检测与过程观察</x:v>
      </x:c>
      <x:c r="G147" s="25" t="str">
        <x:v>通过</x:v>
      </x:c>
    </x:row>
    <x:row r="148" ht="42" customHeight="1">
      <x:c r="A148" s="25" t="str">
        <x:v>C10-L08</x:v>
      </x:c>
      <x:c r="B148" s="25" t="str">
        <x:v>中国古代的多元一次方程组</x:v>
      </x:c>
      <x:c r="C148" s="25" t="n">
        <x:v>4</x:v>
      </x:c>
      <x:c r="D148" s="25" t="str">
        <x:v>在合作探究和互评中形成先审条件、再选方法、规范表达、主动复核的学习习惯。</x:v>
      </x:c>
      <x:c r="E148" s="25" t="str">
        <x:v>过程评价：记录完整、交流有依据、订正能说明错误原因。</x:v>
      </x:c>
      <x:c r="F148" s="25" t="str">
        <x:v>学案Q题、课堂练习、当堂检测与过程观察</x:v>
      </x:c>
      <x:c r="G148" s="25" t="str">
        <x:v>通过</x:v>
      </x:c>
    </x:row>
    <x:row r="149" ht="42" customHeight="1">
      <x:c r="A149" s="25" t="str">
        <x:v>C10-L09</x:v>
      </x:c>
      <x:c r="B149" s="25" t="str">
        <x:v>二元一次方程组数学活动</x:v>
      </x:c>
      <x:c r="C149" s="25" t="n">
        <x:v>1</x:v>
      </x:c>
      <x:c r="D149" s="25" t="str">
        <x:v>通过阅读、观察或操作，准确说出方程组建模、数据与关系探究的含义、表示或基本步骤。</x:v>
      </x:c>
      <x:c r="E149" s="25" t="str">
        <x:v>目标1：Q1、Q2共5分，达到4分视为达成。</x:v>
      </x:c>
      <x:c r="F149" s="25" t="str">
        <x:v>学案Q题、课堂练习、当堂检测与过程观察</x:v>
      </x:c>
      <x:c r="G149" s="25" t="str">
        <x:v>通过</x:v>
      </x:c>
    </x:row>
    <x:row r="150" ht="42" customHeight="1">
      <x:c r="A150" s="25" t="str">
        <x:v>C10-L09</x:v>
      </x:c>
      <x:c r="B150" s="25" t="str">
        <x:v>二元一次方程组数学活动</x:v>
      </x:c>
      <x:c r="C150" s="25" t="n">
        <x:v>2</x:v>
      </x:c>
      <x:c r="D150" s="25" t="str">
        <x:v>在Q2—Q4中运用“合作完成建模、求解和解释”，能用完整语言、式子、图形或图表说明依据。</x:v>
      </x:c>
      <x:c r="E150" s="25" t="str">
        <x:v>目标2：Q3、Q4共7分，达到5分视为达成。</x:v>
      </x:c>
      <x:c r="F150" s="25" t="str">
        <x:v>学案Q题、课堂练习、当堂检测与过程观察</x:v>
      </x:c>
      <x:c r="G150" s="25" t="str">
        <x:v>通过</x:v>
      </x:c>
    </x:row>
    <x:row r="151" ht="42" customHeight="1">
      <x:c r="A151" s="25" t="str">
        <x:v>C10-L09</x:v>
      </x:c>
      <x:c r="B151" s="25" t="str">
        <x:v>二元一次方程组数学活动</x:v>
      </x:c>
      <x:c r="C151" s="25" t="n">
        <x:v>3</x:v>
      </x:c>
      <x:c r="D151" s="25" t="str">
        <x:v>在基础与变式练习中运用“合作完成建模、求解和解释”解决同类问题，并对结果进行检验。</x:v>
      </x:c>
      <x:c r="E151" s="25" t="str">
        <x:v>目标3：Q5—Q8共14分，达到11分视为达成。</x:v>
      </x:c>
      <x:c r="F151" s="25" t="str">
        <x:v>学案Q题、课堂练习、当堂检测与过程观察</x:v>
      </x:c>
      <x:c r="G151" s="25" t="str">
        <x:v>通过</x:v>
      </x:c>
    </x:row>
    <x:row r="152" ht="42" customHeight="1">
      <x:c r="A152" s="25" t="str">
        <x:v>C10-L09</x:v>
      </x:c>
      <x:c r="B152" s="25" t="str">
        <x:v>二元一次方程组数学活动</x:v>
      </x:c>
      <x:c r="C152" s="25" t="n">
        <x:v>4</x:v>
      </x:c>
      <x:c r="D152" s="25" t="str">
        <x:v>在合作探究和互评中形成先审条件、再选方法、规范表达、主动复核的学习习惯。</x:v>
      </x:c>
      <x:c r="E152" s="25" t="str">
        <x:v>过程评价：记录完整、交流有依据、订正能说明错误原因。</x:v>
      </x:c>
      <x:c r="F152" s="25" t="str">
        <x:v>学案Q题、课堂练习、当堂检测与过程观察</x:v>
      </x:c>
      <x:c r="G152" s="25" t="str">
        <x:v>通过</x:v>
      </x:c>
    </x:row>
    <x:row r="153" ht="42" customHeight="1">
      <x:c r="A153" s="25" t="str">
        <x:v>C10-L10</x:v>
      </x:c>
      <x:c r="B153" s="25" t="str">
        <x:v>二元一次方程组章末复习</x:v>
      </x:c>
      <x:c r="C153" s="25" t="n">
        <x:v>1</x:v>
      </x:c>
      <x:c r="D153" s="25" t="str">
        <x:v>通过阅读、观察或操作，准确说出方程组概念、代入与加减消元、实际应用、三元方程组的含义、表示或基本步骤。</x:v>
      </x:c>
      <x:c r="E153" s="25" t="str">
        <x:v>目标1：Q1、Q2共5分，达到4分视为达成。</x:v>
      </x:c>
      <x:c r="F153" s="25" t="str">
        <x:v>学案Q题、课堂练习、当堂检测与过程观察</x:v>
      </x:c>
      <x:c r="G153" s="25" t="str">
        <x:v>通过</x:v>
      </x:c>
    </x:row>
    <x:row r="154" ht="42" customHeight="1">
      <x:c r="A154" s="25" t="str">
        <x:v>C10-L10</x:v>
      </x:c>
      <x:c r="B154" s="25" t="str">
        <x:v>二元一次方程组章末复习</x:v>
      </x:c>
      <x:c r="C154" s="25" t="n">
        <x:v>2</x:v>
      </x:c>
      <x:c r="D154" s="25" t="str">
        <x:v>在Q2—Q4中运用“构建“建模—消元—求解—检验”流程”，能用完整语言、式子、图形或图表说明依据。</x:v>
      </x:c>
      <x:c r="E154" s="25" t="str">
        <x:v>目标2：Q3、Q4共7分，达到5分视为达成。</x:v>
      </x:c>
      <x:c r="F154" s="25" t="str">
        <x:v>学案Q题、课堂练习、当堂检测与过程观察</x:v>
      </x:c>
      <x:c r="G154" s="25" t="str">
        <x:v>通过</x:v>
      </x:c>
    </x:row>
    <x:row r="155" ht="42" customHeight="1">
      <x:c r="A155" s="25" t="str">
        <x:v>C10-L10</x:v>
      </x:c>
      <x:c r="B155" s="25" t="str">
        <x:v>二元一次方程组章末复习</x:v>
      </x:c>
      <x:c r="C155" s="25" t="n">
        <x:v>3</x:v>
      </x:c>
      <x:c r="D155" s="25" t="str">
        <x:v>在基础与变式练习中运用“构建“建模—消元—求解—检验”流程”解决同类问题，并对结果进行检验。</x:v>
      </x:c>
      <x:c r="E155" s="25" t="str">
        <x:v>目标3：Q5—Q8共14分，达到11分视为达成。</x:v>
      </x:c>
      <x:c r="F155" s="25" t="str">
        <x:v>学案Q题、课堂练习、当堂检测与过程观察</x:v>
      </x:c>
      <x:c r="G155" s="25" t="str">
        <x:v>通过</x:v>
      </x:c>
    </x:row>
    <x:row r="156" ht="42" customHeight="1">
      <x:c r="A156" s="25" t="str">
        <x:v>C10-L10</x:v>
      </x:c>
      <x:c r="B156" s="25" t="str">
        <x:v>二元一次方程组章末复习</x:v>
      </x:c>
      <x:c r="C156" s="25" t="n">
        <x:v>4</x:v>
      </x:c>
      <x:c r="D156" s="25" t="str">
        <x:v>在合作探究和互评中形成先审条件、再选方法、规范表达、主动复核的学习习惯。</x:v>
      </x:c>
      <x:c r="E156" s="25" t="str">
        <x:v>过程评价：记录完整、交流有依据、订正能说明错误原因。</x:v>
      </x:c>
      <x:c r="F156" s="25" t="str">
        <x:v>学案Q题、课堂练习、当堂检测与过程观察</x:v>
      </x:c>
      <x:c r="G156" s="25" t="str">
        <x:v>通过</x:v>
      </x:c>
    </x:row>
    <x:row r="157" ht="42" customHeight="1">
      <x:c r="A157" s="25" t="str">
        <x:v>C11-L01</x:v>
      </x:c>
      <x:c r="B157" s="25" t="str">
        <x:v>不等式及其解集</x:v>
      </x:c>
      <x:c r="C157" s="25" t="n">
        <x:v>1</x:v>
      </x:c>
      <x:c r="D157" s="25" t="str">
        <x:v>通过阅读、观察或操作，准确说出不等式、不等式的解、解集、用数轴表示解集的含义、表示或基本步骤。</x:v>
      </x:c>
      <x:c r="E157" s="25" t="str">
        <x:v>目标1：Q1、Q2共5分，达到4分视为达成。</x:v>
      </x:c>
      <x:c r="F157" s="25" t="str">
        <x:v>学案Q题、课堂练习、当堂检测与过程观察</x:v>
      </x:c>
      <x:c r="G157" s="25" t="str">
        <x:v>通过</x:v>
      </x:c>
    </x:row>
    <x:row r="158" ht="42" customHeight="1">
      <x:c r="A158" s="25" t="str">
        <x:v>C11-L01</x:v>
      </x:c>
      <x:c r="B158" s="25" t="str">
        <x:v>不等式及其解集</x:v>
      </x:c>
      <x:c r="C158" s="25" t="n">
        <x:v>2</x:v>
      </x:c>
      <x:c r="D158" s="25" t="str">
        <x:v>在Q2—Q4中运用“区分一个解与解集”，能用完整语言、式子、图形或图表说明依据。</x:v>
      </x:c>
      <x:c r="E158" s="25" t="str">
        <x:v>目标2：Q3、Q4共7分，达到5分视为达成。</x:v>
      </x:c>
      <x:c r="F158" s="25" t="str">
        <x:v>学案Q题、课堂练习、当堂检测与过程观察</x:v>
      </x:c>
      <x:c r="G158" s="25" t="str">
        <x:v>通过</x:v>
      </x:c>
    </x:row>
    <x:row r="159" ht="42" customHeight="1">
      <x:c r="A159" s="25" t="str">
        <x:v>C11-L01</x:v>
      </x:c>
      <x:c r="B159" s="25" t="str">
        <x:v>不等式及其解集</x:v>
      </x:c>
      <x:c r="C159" s="25" t="n">
        <x:v>3</x:v>
      </x:c>
      <x:c r="D159" s="25" t="str">
        <x:v>在基础与变式练习中运用“区分一个解与解集”解决同类问题，并对结果进行检验。</x:v>
      </x:c>
      <x:c r="E159" s="25" t="str">
        <x:v>目标3：Q5—Q8共14分，达到11分视为达成。</x:v>
      </x:c>
      <x:c r="F159" s="25" t="str">
        <x:v>学案Q题、课堂练习、当堂检测与过程观察</x:v>
      </x:c>
      <x:c r="G159" s="25" t="str">
        <x:v>通过</x:v>
      </x:c>
    </x:row>
    <x:row r="160" ht="42" customHeight="1">
      <x:c r="A160" s="25" t="str">
        <x:v>C11-L01</x:v>
      </x:c>
      <x:c r="B160" s="25" t="str">
        <x:v>不等式及其解集</x:v>
      </x:c>
      <x:c r="C160" s="25" t="n">
        <x:v>4</x:v>
      </x:c>
      <x:c r="D160" s="25" t="str">
        <x:v>在合作探究和互评中形成先审条件、再选方法、规范表达、主动复核的学习习惯。</x:v>
      </x:c>
      <x:c r="E160" s="25" t="str">
        <x:v>过程评价：记录完整、交流有依据、订正能说明错误原因。</x:v>
      </x:c>
      <x:c r="F160" s="25" t="str">
        <x:v>学案Q题、课堂练习、当堂检测与过程观察</x:v>
      </x:c>
      <x:c r="G160" s="25" t="str">
        <x:v>通过</x:v>
      </x:c>
    </x:row>
    <x:row r="161" ht="42" customHeight="1">
      <x:c r="A161" s="25" t="str">
        <x:v>C11-L02</x:v>
      </x:c>
      <x:c r="B161" s="25" t="str">
        <x:v>不等式的性质</x:v>
      </x:c>
      <x:c r="C161" s="25" t="n">
        <x:v>1</x:v>
      </x:c>
      <x:c r="D161" s="25" t="str">
        <x:v>通过阅读、观察或操作，准确说出不等式三条性质、利用性质解简单不等式的含义、表示或基本步骤。</x:v>
      </x:c>
      <x:c r="E161" s="25" t="str">
        <x:v>目标1：Q1、Q2共5分，达到4分视为达成。</x:v>
      </x:c>
      <x:c r="F161" s="25" t="str">
        <x:v>学案Q题、课堂练习、当堂检测与过程观察</x:v>
      </x:c>
      <x:c r="G161" s="25" t="str">
        <x:v>通过</x:v>
      </x:c>
    </x:row>
    <x:row r="162" ht="42" customHeight="1">
      <x:c r="A162" s="25" t="str">
        <x:v>C11-L02</x:v>
      </x:c>
      <x:c r="B162" s="25" t="str">
        <x:v>不等式的性质</x:v>
      </x:c>
      <x:c r="C162" s="25" t="n">
        <x:v>2</x:v>
      </x:c>
      <x:c r="D162" s="25" t="str">
        <x:v>在Q2—Q4中运用“乘除负数时改变不等号方向”，能用完整语言、式子、图形或图表说明依据。</x:v>
      </x:c>
      <x:c r="E162" s="25" t="str">
        <x:v>目标2：Q3、Q4共7分，达到5分视为达成。</x:v>
      </x:c>
      <x:c r="F162" s="25" t="str">
        <x:v>学案Q题、课堂练习、当堂检测与过程观察</x:v>
      </x:c>
      <x:c r="G162" s="25" t="str">
        <x:v>通过</x:v>
      </x:c>
    </x:row>
    <x:row r="163" ht="42" customHeight="1">
      <x:c r="A163" s="25" t="str">
        <x:v>C11-L02</x:v>
      </x:c>
      <x:c r="B163" s="25" t="str">
        <x:v>不等式的性质</x:v>
      </x:c>
      <x:c r="C163" s="25" t="n">
        <x:v>3</x:v>
      </x:c>
      <x:c r="D163" s="25" t="str">
        <x:v>在基础与变式练习中运用“乘除负数时改变不等号方向”解决同类问题，并对结果进行检验。</x:v>
      </x:c>
      <x:c r="E163" s="25" t="str">
        <x:v>目标3：Q5—Q8共14分，达到11分视为达成。</x:v>
      </x:c>
      <x:c r="F163" s="25" t="str">
        <x:v>学案Q题、课堂练习、当堂检测与过程观察</x:v>
      </x:c>
      <x:c r="G163" s="25" t="str">
        <x:v>通过</x:v>
      </x:c>
    </x:row>
    <x:row r="164" ht="42" customHeight="1">
      <x:c r="A164" s="25" t="str">
        <x:v>C11-L02</x:v>
      </x:c>
      <x:c r="B164" s="25" t="str">
        <x:v>不等式的性质</x:v>
      </x:c>
      <x:c r="C164" s="25" t="n">
        <x:v>4</x:v>
      </x:c>
      <x:c r="D164" s="25" t="str">
        <x:v>在合作探究和互评中形成先审条件、再选方法、规范表达、主动复核的学习习惯。</x:v>
      </x:c>
      <x:c r="E164" s="25" t="str">
        <x:v>过程评价：记录完整、交流有依据、订正能说明错误原因。</x:v>
      </x:c>
      <x:c r="F164" s="25" t="str">
        <x:v>学案Q题、课堂练习、当堂检测与过程观察</x:v>
      </x:c>
      <x:c r="G164" s="25" t="str">
        <x:v>通过</x:v>
      </x:c>
    </x:row>
    <x:row r="165" ht="42" customHeight="1">
      <x:c r="A165" s="25" t="str">
        <x:v>C11-L03</x:v>
      </x:c>
      <x:c r="B165" s="25" t="str">
        <x:v>不等式的应用与比较大小</x:v>
      </x:c>
      <x:c r="C165" s="25" t="n">
        <x:v>1</x:v>
      </x:c>
      <x:c r="D165" s="25" t="str">
        <x:v>通过阅读、观察或操作，准确说出实际问题中的不等关系、解集范围、求差法比较大小的含义、表示或基本步骤。</x:v>
      </x:c>
      <x:c r="E165" s="25" t="str">
        <x:v>目标1：Q1、Q2共5分，达到4分视为达成。</x:v>
      </x:c>
      <x:c r="F165" s="25" t="str">
        <x:v>学案Q题、课堂练习、当堂检测与过程观察</x:v>
      </x:c>
      <x:c r="G165" s="25" t="str">
        <x:v>通过</x:v>
      </x:c>
    </x:row>
    <x:row r="166" ht="42" customHeight="1">
      <x:c r="A166" s="25" t="str">
        <x:v>C11-L03</x:v>
      </x:c>
      <x:c r="B166" s="25" t="str">
        <x:v>不等式的应用与比较大小</x:v>
      </x:c>
      <x:c r="C166" s="25" t="n">
        <x:v>2</x:v>
      </x:c>
      <x:c r="D166" s="25" t="str">
        <x:v>在Q2—Q4中运用“从实际限制列不等式并解释解集”，能用完整语言、式子、图形或图表说明依据。</x:v>
      </x:c>
      <x:c r="E166" s="25" t="str">
        <x:v>目标2：Q3、Q4共7分，达到5分视为达成。</x:v>
      </x:c>
      <x:c r="F166" s="25" t="str">
        <x:v>学案Q题、课堂练习、当堂检测与过程观察</x:v>
      </x:c>
      <x:c r="G166" s="25" t="str">
        <x:v>通过</x:v>
      </x:c>
    </x:row>
    <x:row r="167" ht="42" customHeight="1">
      <x:c r="A167" s="25" t="str">
        <x:v>C11-L03</x:v>
      </x:c>
      <x:c r="B167" s="25" t="str">
        <x:v>不等式的应用与比较大小</x:v>
      </x:c>
      <x:c r="C167" s="25" t="n">
        <x:v>3</x:v>
      </x:c>
      <x:c r="D167" s="25" t="str">
        <x:v>在基础与变式练习中运用“从实际限制列不等式并解释解集”解决同类问题，并对结果进行检验。</x:v>
      </x:c>
      <x:c r="E167" s="25" t="str">
        <x:v>目标3：Q5—Q8共14分，达到11分视为达成。</x:v>
      </x:c>
      <x:c r="F167" s="25" t="str">
        <x:v>学案Q题、课堂练习、当堂检测与过程观察</x:v>
      </x:c>
      <x:c r="G167" s="25" t="str">
        <x:v>通过</x:v>
      </x:c>
    </x:row>
    <x:row r="168" ht="42" customHeight="1">
      <x:c r="A168" s="25" t="str">
        <x:v>C11-L03</x:v>
      </x:c>
      <x:c r="B168" s="25" t="str">
        <x:v>不等式的应用与比较大小</x:v>
      </x:c>
      <x:c r="C168" s="25" t="n">
        <x:v>4</x:v>
      </x:c>
      <x:c r="D168" s="25" t="str">
        <x:v>在合作探究和互评中形成先审条件、再选方法、规范表达、主动复核的学习习惯。</x:v>
      </x:c>
      <x:c r="E168" s="25" t="str">
        <x:v>过程评价：记录完整、交流有依据、订正能说明错误原因。</x:v>
      </x:c>
      <x:c r="F168" s="25" t="str">
        <x:v>学案Q题、课堂练习、当堂检测与过程观察</x:v>
      </x:c>
      <x:c r="G168" s="25" t="str">
        <x:v>通过</x:v>
      </x:c>
    </x:row>
    <x:row r="169" ht="42" customHeight="1">
      <x:c r="A169" s="25" t="str">
        <x:v>C11-L04</x:v>
      </x:c>
      <x:c r="B169" s="25" t="str">
        <x:v>解一元一次不等式</x:v>
      </x:c>
      <x:c r="C169" s="25" t="n">
        <x:v>1</x:v>
      </x:c>
      <x:c r="D169" s="25" t="str">
        <x:v>通过阅读、观察或操作，准确说出一元一次不等式、解法步骤、数轴表示的含义、表示或基本步骤。</x:v>
      </x:c>
      <x:c r="E169" s="25" t="str">
        <x:v>目标1：Q1、Q2共5分，达到4分视为达成。</x:v>
      </x:c>
      <x:c r="F169" s="25" t="str">
        <x:v>学案Q题、课堂练习、当堂检测与过程观察</x:v>
      </x:c>
      <x:c r="G169" s="25" t="str">
        <x:v>通过</x:v>
      </x:c>
    </x:row>
    <x:row r="170" ht="42" customHeight="1">
      <x:c r="A170" s="25" t="str">
        <x:v>C11-L04</x:v>
      </x:c>
      <x:c r="B170" s="25" t="str">
        <x:v>解一元一次不等式</x:v>
      </x:c>
      <x:c r="C170" s="25" t="n">
        <x:v>2</x:v>
      </x:c>
      <x:c r="D170" s="25" t="str">
        <x:v>在Q2—Q4中运用“按步骤解不等式并表示解集”，能用完整语言、式子、图形或图表说明依据。</x:v>
      </x:c>
      <x:c r="E170" s="25" t="str">
        <x:v>目标2：Q3、Q4共7分，达到5分视为达成。</x:v>
      </x:c>
      <x:c r="F170" s="25" t="str">
        <x:v>学案Q题、课堂练习、当堂检测与过程观察</x:v>
      </x:c>
      <x:c r="G170" s="25" t="str">
        <x:v>通过</x:v>
      </x:c>
    </x:row>
    <x:row r="171" ht="42" customHeight="1">
      <x:c r="A171" s="25" t="str">
        <x:v>C11-L04</x:v>
      </x:c>
      <x:c r="B171" s="25" t="str">
        <x:v>解一元一次不等式</x:v>
      </x:c>
      <x:c r="C171" s="25" t="n">
        <x:v>3</x:v>
      </x:c>
      <x:c r="D171" s="25" t="str">
        <x:v>在基础与变式练习中运用“按步骤解不等式并表示解集”解决同类问题，并对结果进行检验。</x:v>
      </x:c>
      <x:c r="E171" s="25" t="str">
        <x:v>目标3：Q5—Q8共14分，达到11分视为达成。</x:v>
      </x:c>
      <x:c r="F171" s="25" t="str">
        <x:v>学案Q题、课堂练习、当堂检测与过程观察</x:v>
      </x:c>
      <x:c r="G171" s="25" t="str">
        <x:v>通过</x:v>
      </x:c>
    </x:row>
    <x:row r="172" ht="42" customHeight="1">
      <x:c r="A172" s="25" t="str">
        <x:v>C11-L04</x:v>
      </x:c>
      <x:c r="B172" s="25" t="str">
        <x:v>解一元一次不等式</x:v>
      </x:c>
      <x:c r="C172" s="25" t="n">
        <x:v>4</x:v>
      </x:c>
      <x:c r="D172" s="25" t="str">
        <x:v>在合作探究和互评中形成先审条件、再选方法、规范表达、主动复核的学习习惯。</x:v>
      </x:c>
      <x:c r="E172" s="25" t="str">
        <x:v>过程评价：记录完整、交流有依据、订正能说明错误原因。</x:v>
      </x:c>
      <x:c r="F172" s="25" t="str">
        <x:v>学案Q题、课堂练习、当堂检测与过程观察</x:v>
      </x:c>
      <x:c r="G172" s="25" t="str">
        <x:v>通过</x:v>
      </x:c>
    </x:row>
    <x:row r="173" ht="42" customHeight="1">
      <x:c r="A173" s="25" t="str">
        <x:v>C11-L05</x:v>
      </x:c>
      <x:c r="B173" s="25" t="str">
        <x:v>一元一次不等式的应用</x:v>
      </x:c>
      <x:c r="C173" s="25" t="n">
        <x:v>1</x:v>
      </x:c>
      <x:c r="D173" s="25" t="str">
        <x:v>通过阅读、观察或操作，准确说出不等式建模、至少至多问题、方案比较的含义、表示或基本步骤。</x:v>
      </x:c>
      <x:c r="E173" s="25" t="str">
        <x:v>目标1：Q1、Q2共5分，达到4分视为达成。</x:v>
      </x:c>
      <x:c r="F173" s="25" t="str">
        <x:v>学案Q题、课堂练习、当堂检测与过程观察</x:v>
      </x:c>
      <x:c r="G173" s="25" t="str">
        <x:v>通过</x:v>
      </x:c>
    </x:row>
    <x:row r="174" ht="42" customHeight="1">
      <x:c r="A174" s="25" t="str">
        <x:v>C11-L05</x:v>
      </x:c>
      <x:c r="B174" s="25" t="str">
        <x:v>一元一次不等式的应用</x:v>
      </x:c>
      <x:c r="C174" s="25" t="n">
        <x:v>2</x:v>
      </x:c>
      <x:c r="D174" s="25" t="str">
        <x:v>在Q2—Q4中运用“由限制条件建立不等式模型”，能用完整语言、式子、图形或图表说明依据。</x:v>
      </x:c>
      <x:c r="E174" s="25" t="str">
        <x:v>目标2：Q3、Q4共7分，达到5分视为达成。</x:v>
      </x:c>
      <x:c r="F174" s="25" t="str">
        <x:v>学案Q题、课堂练习、当堂检测与过程观察</x:v>
      </x:c>
      <x:c r="G174" s="25" t="str">
        <x:v>通过</x:v>
      </x:c>
    </x:row>
    <x:row r="175" ht="42" customHeight="1">
      <x:c r="A175" s="25" t="str">
        <x:v>C11-L05</x:v>
      </x:c>
      <x:c r="B175" s="25" t="str">
        <x:v>一元一次不等式的应用</x:v>
      </x:c>
      <x:c r="C175" s="25" t="n">
        <x:v>3</x:v>
      </x:c>
      <x:c r="D175" s="25" t="str">
        <x:v>在基础与变式练习中运用“由限制条件建立不等式模型”解决同类问题，并对结果进行检验。</x:v>
      </x:c>
      <x:c r="E175" s="25" t="str">
        <x:v>目标3：Q5—Q8共14分，达到11分视为达成。</x:v>
      </x:c>
      <x:c r="F175" s="25" t="str">
        <x:v>学案Q题、课堂练习、当堂检测与过程观察</x:v>
      </x:c>
      <x:c r="G175" s="25" t="str">
        <x:v>通过</x:v>
      </x:c>
    </x:row>
    <x:row r="176" ht="42" customHeight="1">
      <x:c r="A176" s="25" t="str">
        <x:v>C11-L05</x:v>
      </x:c>
      <x:c r="B176" s="25" t="str">
        <x:v>一元一次不等式的应用</x:v>
      </x:c>
      <x:c r="C176" s="25" t="n">
        <x:v>4</x:v>
      </x:c>
      <x:c r="D176" s="25" t="str">
        <x:v>在合作探究和互评中形成先审条件、再选方法、规范表达、主动复核的学习习惯。</x:v>
      </x:c>
      <x:c r="E176" s="25" t="str">
        <x:v>过程评价：记录完整、交流有依据、订正能说明错误原因。</x:v>
      </x:c>
      <x:c r="F176" s="25" t="str">
        <x:v>学案Q题、课堂练习、当堂检测与过程观察</x:v>
      </x:c>
      <x:c r="G176" s="25" t="str">
        <x:v>通过</x:v>
      </x:c>
    </x:row>
    <x:row r="177" ht="42" customHeight="1">
      <x:c r="A177" s="25" t="str">
        <x:v>C11-L06</x:v>
      </x:c>
      <x:c r="B177" s="25" t="str">
        <x:v>一元一次不等式组</x:v>
      </x:c>
      <x:c r="C177" s="25" t="n">
        <x:v>1</x:v>
      </x:c>
      <x:c r="D177" s="25" t="str">
        <x:v>通过阅读、观察或操作，准确说出一元一次不等式组、公共解集、数轴法、整数解的含义、表示或基本步骤。</x:v>
      </x:c>
      <x:c r="E177" s="25" t="str">
        <x:v>目标1：Q1、Q2共5分，达到4分视为达成。</x:v>
      </x:c>
      <x:c r="F177" s="25" t="str">
        <x:v>学案Q题、课堂练习、当堂检测与过程观察</x:v>
      </x:c>
      <x:c r="G177" s="25" t="str">
        <x:v>通过</x:v>
      </x:c>
    </x:row>
    <x:row r="178" ht="42" customHeight="1">
      <x:c r="A178" s="25" t="str">
        <x:v>C11-L06</x:v>
      </x:c>
      <x:c r="B178" s="25" t="str">
        <x:v>一元一次不等式组</x:v>
      </x:c>
      <x:c r="C178" s="25" t="n">
        <x:v>2</x:v>
      </x:c>
      <x:c r="D178" s="25" t="str">
        <x:v>在Q2—Q4中运用“分别求解并取解集公共部分”，能用完整语言、式子、图形或图表说明依据。</x:v>
      </x:c>
      <x:c r="E178" s="25" t="str">
        <x:v>目标2：Q3、Q4共7分，达到5分视为达成。</x:v>
      </x:c>
      <x:c r="F178" s="25" t="str">
        <x:v>学案Q题、课堂练习、当堂检测与过程观察</x:v>
      </x:c>
      <x:c r="G178" s="25" t="str">
        <x:v>通过</x:v>
      </x:c>
    </x:row>
    <x:row r="179" ht="42" customHeight="1">
      <x:c r="A179" s="25" t="str">
        <x:v>C11-L06</x:v>
      </x:c>
      <x:c r="B179" s="25" t="str">
        <x:v>一元一次不等式组</x:v>
      </x:c>
      <x:c r="C179" s="25" t="n">
        <x:v>3</x:v>
      </x:c>
      <x:c r="D179" s="25" t="str">
        <x:v>在基础与变式练习中运用“分别求解并取解集公共部分”解决同类问题，并对结果进行检验。</x:v>
      </x:c>
      <x:c r="E179" s="25" t="str">
        <x:v>目标3：Q5—Q8共14分，达到11分视为达成。</x:v>
      </x:c>
      <x:c r="F179" s="25" t="str">
        <x:v>学案Q题、课堂练习、当堂检测与过程观察</x:v>
      </x:c>
      <x:c r="G179" s="25" t="str">
        <x:v>通过</x:v>
      </x:c>
    </x:row>
    <x:row r="180" ht="42" customHeight="1">
      <x:c r="A180" s="25" t="str">
        <x:v>C11-L06</x:v>
      </x:c>
      <x:c r="B180" s="25" t="str">
        <x:v>一元一次不等式组</x:v>
      </x:c>
      <x:c r="C180" s="25" t="n">
        <x:v>4</x:v>
      </x:c>
      <x:c r="D180" s="25" t="str">
        <x:v>在合作探究和互评中形成先审条件、再选方法、规范表达、主动复核的学习习惯。</x:v>
      </x:c>
      <x:c r="E180" s="25" t="str">
        <x:v>过程评价：记录完整、交流有依据、订正能说明错误原因。</x:v>
      </x:c>
      <x:c r="F180" s="25" t="str">
        <x:v>学案Q题、课堂练习、当堂检测与过程观察</x:v>
      </x:c>
      <x:c r="G180" s="25" t="str">
        <x:v>通过</x:v>
      </x:c>
    </x:row>
    <x:row r="181" ht="42" customHeight="1">
      <x:c r="A181" s="25" t="str">
        <x:v>C11-L07</x:v>
      </x:c>
      <x:c r="B181" s="25" t="str">
        <x:v>不等式与不等式组数学活动</x:v>
      </x:c>
      <x:c r="C181" s="25" t="n">
        <x:v>1</x:v>
      </x:c>
      <x:c r="D181" s="25" t="str">
        <x:v>通过阅读、观察或操作，准确说出不等关系探究、解集表示的含义、表示或基本步骤。</x:v>
      </x:c>
      <x:c r="E181" s="25" t="str">
        <x:v>目标1：Q1、Q2共5分，达到4分视为达成。</x:v>
      </x:c>
      <x:c r="F181" s="25" t="str">
        <x:v>学案Q题、课堂练习、当堂检测与过程观察</x:v>
      </x:c>
      <x:c r="G181" s="25" t="str">
        <x:v>通过</x:v>
      </x:c>
    </x:row>
    <x:row r="182" ht="42" customHeight="1">
      <x:c r="A182" s="25" t="str">
        <x:v>C11-L07</x:v>
      </x:c>
      <x:c r="B182" s="25" t="str">
        <x:v>不等式与不等式组数学活动</x:v>
      </x:c>
      <x:c r="C182" s="25" t="n">
        <x:v>2</x:v>
      </x:c>
      <x:c r="D182" s="25" t="str">
        <x:v>在Q2—Q4中运用“用不等式模型解释活动结果”，能用完整语言、式子、图形或图表说明依据。</x:v>
      </x:c>
      <x:c r="E182" s="25" t="str">
        <x:v>目标2：Q3、Q4共7分，达到5分视为达成。</x:v>
      </x:c>
      <x:c r="F182" s="25" t="str">
        <x:v>学案Q题、课堂练习、当堂检测与过程观察</x:v>
      </x:c>
      <x:c r="G182" s="25" t="str">
        <x:v>通过</x:v>
      </x:c>
    </x:row>
    <x:row r="183" ht="42" customHeight="1">
      <x:c r="A183" s="25" t="str">
        <x:v>C11-L07</x:v>
      </x:c>
      <x:c r="B183" s="25" t="str">
        <x:v>不等式与不等式组数学活动</x:v>
      </x:c>
      <x:c r="C183" s="25" t="n">
        <x:v>3</x:v>
      </x:c>
      <x:c r="D183" s="25" t="str">
        <x:v>在基础与变式练习中运用“用不等式模型解释活动结果”解决同类问题，并对结果进行检验。</x:v>
      </x:c>
      <x:c r="E183" s="25" t="str">
        <x:v>目标3：Q5—Q8共14分，达到11分视为达成。</x:v>
      </x:c>
      <x:c r="F183" s="25" t="str">
        <x:v>学案Q题、课堂练习、当堂检测与过程观察</x:v>
      </x:c>
      <x:c r="G183" s="25" t="str">
        <x:v>通过</x:v>
      </x:c>
    </x:row>
    <x:row r="184" ht="42" customHeight="1">
      <x:c r="A184" s="25" t="str">
        <x:v>C11-L07</x:v>
      </x:c>
      <x:c r="B184" s="25" t="str">
        <x:v>不等式与不等式组数学活动</x:v>
      </x:c>
      <x:c r="C184" s="25" t="n">
        <x:v>4</x:v>
      </x:c>
      <x:c r="D184" s="25" t="str">
        <x:v>在合作探究和互评中形成先审条件、再选方法、规范表达、主动复核的学习习惯。</x:v>
      </x:c>
      <x:c r="E184" s="25" t="str">
        <x:v>过程评价：记录完整、交流有依据、订正能说明错误原因。</x:v>
      </x:c>
      <x:c r="F184" s="25" t="str">
        <x:v>学案Q题、课堂练习、当堂检测与过程观察</x:v>
      </x:c>
      <x:c r="G184" s="25" t="str">
        <x:v>通过</x:v>
      </x:c>
    </x:row>
    <x:row r="185" ht="42" customHeight="1">
      <x:c r="A185" s="25" t="str">
        <x:v>C11-L08</x:v>
      </x:c>
      <x:c r="B185" s="25" t="str">
        <x:v>不等式与不等式组章末复习</x:v>
      </x:c>
      <x:c r="C185" s="25" t="n">
        <x:v>1</x:v>
      </x:c>
      <x:c r="D185" s="25" t="str">
        <x:v>通过阅读、观察或操作，准确说出不等式、一元一次不等式、不等式组、实际应用的含义、表示或基本步骤。</x:v>
      </x:c>
      <x:c r="E185" s="25" t="str">
        <x:v>目标1：Q1、Q2共5分，达到4分视为达成。</x:v>
      </x:c>
      <x:c r="F185" s="25" t="str">
        <x:v>学案Q题、课堂练习、当堂检测与过程观察</x:v>
      </x:c>
      <x:c r="G185" s="25" t="str">
        <x:v>通过</x:v>
      </x:c>
    </x:row>
    <x:row r="186" ht="42" customHeight="1">
      <x:c r="A186" s="25" t="str">
        <x:v>C11-L08</x:v>
      </x:c>
      <x:c r="B186" s="25" t="str">
        <x:v>不等式与不等式组章末复习</x:v>
      </x:c>
      <x:c r="C186" s="25" t="n">
        <x:v>2</x:v>
      </x:c>
      <x:c r="D186" s="25" t="str">
        <x:v>在Q2—Q4中运用“构建“列式—求解—表示—解释”流程”，能用完整语言、式子、图形或图表说明依据。</x:v>
      </x:c>
      <x:c r="E186" s="25" t="str">
        <x:v>目标2：Q3、Q4共7分，达到5分视为达成。</x:v>
      </x:c>
      <x:c r="F186" s="25" t="str">
        <x:v>学案Q题、课堂练习、当堂检测与过程观察</x:v>
      </x:c>
      <x:c r="G186" s="25" t="str">
        <x:v>通过</x:v>
      </x:c>
    </x:row>
    <x:row r="187" ht="42" customHeight="1">
      <x:c r="A187" s="25" t="str">
        <x:v>C11-L08</x:v>
      </x:c>
      <x:c r="B187" s="25" t="str">
        <x:v>不等式与不等式组章末复习</x:v>
      </x:c>
      <x:c r="C187" s="25" t="n">
        <x:v>3</x:v>
      </x:c>
      <x:c r="D187" s="25" t="str">
        <x:v>在基础与变式练习中运用“构建“列式—求解—表示—解释”流程”解决同类问题，并对结果进行检验。</x:v>
      </x:c>
      <x:c r="E187" s="25" t="str">
        <x:v>目标3：Q5—Q8共14分，达到11分视为达成。</x:v>
      </x:c>
      <x:c r="F187" s="25" t="str">
        <x:v>学案Q题、课堂练习、当堂检测与过程观察</x:v>
      </x:c>
      <x:c r="G187" s="25" t="str">
        <x:v>通过</x:v>
      </x:c>
    </x:row>
    <x:row r="188" ht="42" customHeight="1">
      <x:c r="A188" s="25" t="str">
        <x:v>C11-L08</x:v>
      </x:c>
      <x:c r="B188" s="25" t="str">
        <x:v>不等式与不等式组章末复习</x:v>
      </x:c>
      <x:c r="C188" s="25" t="n">
        <x:v>4</x:v>
      </x:c>
      <x:c r="D188" s="25" t="str">
        <x:v>在合作探究和互评中形成先审条件、再选方法、规范表达、主动复核的学习习惯。</x:v>
      </x:c>
      <x:c r="E188" s="25" t="str">
        <x:v>过程评价：记录完整、交流有依据、订正能说明错误原因。</x:v>
      </x:c>
      <x:c r="F188" s="25" t="str">
        <x:v>学案Q题、课堂练习、当堂检测与过程观察</x:v>
      </x:c>
      <x:c r="G188" s="25" t="str">
        <x:v>通过</x:v>
      </x:c>
    </x:row>
    <x:row r="189" ht="42" customHeight="1">
      <x:c r="A189" s="25" t="str">
        <x:v>C11-L09</x:v>
      </x:c>
      <x:c r="B189" s="25" t="str">
        <x:v>低碳生活</x:v>
      </x:c>
      <x:c r="C189" s="25" t="n">
        <x:v>1</x:v>
      </x:c>
      <x:c r="D189" s="25" t="str">
        <x:v>通过阅读、观察或操作，准确说出数据收集、碳足迹计算、不等式决策、合作研究的含义、表示或基本步骤。</x:v>
      </x:c>
      <x:c r="E189" s="25" t="str">
        <x:v>目标1：Q1、Q2共5分，达到4分视为达成。</x:v>
      </x:c>
      <x:c r="F189" s="25" t="str">
        <x:v>学案Q题、课堂练习、当堂检测与过程观察</x:v>
      </x:c>
      <x:c r="G189" s="25" t="str">
        <x:v>通过</x:v>
      </x:c>
    </x:row>
    <x:row r="190" ht="42" customHeight="1">
      <x:c r="A190" s="25" t="str">
        <x:v>C11-L09</x:v>
      </x:c>
      <x:c r="B190" s="25" t="str">
        <x:v>低碳生活</x:v>
      </x:c>
      <x:c r="C190" s="25" t="n">
        <x:v>2</x:v>
      </x:c>
      <x:c r="D190" s="25" t="str">
        <x:v>在Q2—Q4中运用“把低碳目标转化为可计算方案”，能用完整语言、式子、图形或图表说明依据。</x:v>
      </x:c>
      <x:c r="E190" s="25" t="str">
        <x:v>目标2：Q3、Q4共7分，达到5分视为达成。</x:v>
      </x:c>
      <x:c r="F190" s="25" t="str">
        <x:v>学案Q题、课堂练习、当堂检测与过程观察</x:v>
      </x:c>
      <x:c r="G190" s="25" t="str">
        <x:v>通过</x:v>
      </x:c>
    </x:row>
    <x:row r="191" ht="42" customHeight="1">
      <x:c r="A191" s="25" t="str">
        <x:v>C11-L09</x:v>
      </x:c>
      <x:c r="B191" s="25" t="str">
        <x:v>低碳生活</x:v>
      </x:c>
      <x:c r="C191" s="25" t="n">
        <x:v>3</x:v>
      </x:c>
      <x:c r="D191" s="25" t="str">
        <x:v>在基础与变式练习中运用“把低碳目标转化为可计算方案”解决同类问题，并对结果进行检验。</x:v>
      </x:c>
      <x:c r="E191" s="25" t="str">
        <x:v>目标3：Q5—Q8共14分，达到11分视为达成。</x:v>
      </x:c>
      <x:c r="F191" s="25" t="str">
        <x:v>学案Q题、课堂练习、当堂检测与过程观察</x:v>
      </x:c>
      <x:c r="G191" s="25" t="str">
        <x:v>通过</x:v>
      </x:c>
    </x:row>
    <x:row r="192" ht="42" customHeight="1">
      <x:c r="A192" s="25" t="str">
        <x:v>C11-L09</x:v>
      </x:c>
      <x:c r="B192" s="25" t="str">
        <x:v>低碳生活</x:v>
      </x:c>
      <x:c r="C192" s="25" t="n">
        <x:v>4</x:v>
      </x:c>
      <x:c r="D192" s="25" t="str">
        <x:v>在合作探究和互评中形成先审条件、再选方法、规范表达、主动复核的学习习惯。</x:v>
      </x:c>
      <x:c r="E192" s="25" t="str">
        <x:v>过程评价：记录完整、交流有依据、订正能说明错误原因。</x:v>
      </x:c>
      <x:c r="F192" s="25" t="str">
        <x:v>学案Q题、课堂练习、当堂检测与过程观察</x:v>
      </x:c>
      <x:c r="G192" s="25" t="str">
        <x:v>通过</x:v>
      </x:c>
    </x:row>
    <x:row r="193" ht="42" customHeight="1">
      <x:c r="A193" s="25" t="str">
        <x:v>C12-L01</x:v>
      </x:c>
      <x:c r="B193" s="25" t="str">
        <x:v>全面调查与数据整理</x:v>
      </x:c>
      <x:c r="C193" s="25" t="n">
        <x:v>1</x:v>
      </x:c>
      <x:c r="D193" s="25" t="str">
        <x:v>通过阅读、观察或操作，准确说出统计调查步骤、全面调查、划记法、频数与百分比、条形图和扇形图的含义、表示或基本步骤。</x:v>
      </x:c>
      <x:c r="E193" s="25" t="str">
        <x:v>目标1：Q1、Q2共5分，达到4分视为达成。</x:v>
      </x:c>
      <x:c r="F193" s="25" t="str">
        <x:v>学案Q题、课堂练习、当堂检测与过程观察</x:v>
      </x:c>
      <x:c r="G193" s="25" t="str">
        <x:v>通过</x:v>
      </x:c>
    </x:row>
    <x:row r="194" ht="42" customHeight="1">
      <x:c r="A194" s="25" t="str">
        <x:v>C12-L01</x:v>
      </x:c>
      <x:c r="B194" s="25" t="str">
        <x:v>全面调查与数据整理</x:v>
      </x:c>
      <x:c r="C194" s="25" t="n">
        <x:v>2</x:v>
      </x:c>
      <x:c r="D194" s="25" t="str">
        <x:v>在Q2—Q4中运用“经历收集、整理、描述和分析数据全过程”，能用完整语言、式子、图形或图表说明依据。</x:v>
      </x:c>
      <x:c r="E194" s="25" t="str">
        <x:v>目标2：Q3、Q4共7分，达到5分视为达成。</x:v>
      </x:c>
      <x:c r="F194" s="25" t="str">
        <x:v>学案Q题、课堂练习、当堂检测与过程观察</x:v>
      </x:c>
      <x:c r="G194" s="25" t="str">
        <x:v>通过</x:v>
      </x:c>
    </x:row>
    <x:row r="195" ht="42" customHeight="1">
      <x:c r="A195" s="25" t="str">
        <x:v>C12-L01</x:v>
      </x:c>
      <x:c r="B195" s="25" t="str">
        <x:v>全面调查与数据整理</x:v>
      </x:c>
      <x:c r="C195" s="25" t="n">
        <x:v>3</x:v>
      </x:c>
      <x:c r="D195" s="25" t="str">
        <x:v>在基础与变式练习中运用“经历收集、整理、描述和分析数据全过程”解决同类问题，并对结果进行检验。</x:v>
      </x:c>
      <x:c r="E195" s="25" t="str">
        <x:v>目标3：Q5—Q8共14分，达到11分视为达成。</x:v>
      </x:c>
      <x:c r="F195" s="25" t="str">
        <x:v>学案Q题、课堂练习、当堂检测与过程观察</x:v>
      </x:c>
      <x:c r="G195" s="25" t="str">
        <x:v>通过</x:v>
      </x:c>
    </x:row>
    <x:row r="196" ht="42" customHeight="1">
      <x:c r="A196" s="25" t="str">
        <x:v>C12-L01</x:v>
      </x:c>
      <x:c r="B196" s="25" t="str">
        <x:v>全面调查与数据整理</x:v>
      </x:c>
      <x:c r="C196" s="25" t="n">
        <x:v>4</x:v>
      </x:c>
      <x:c r="D196" s="25" t="str">
        <x:v>在合作探究和互评中形成先审条件、再选方法、规范表达、主动复核的学习习惯。</x:v>
      </x:c>
      <x:c r="E196" s="25" t="str">
        <x:v>过程评价：记录完整、交流有依据、订正能说明错误原因。</x:v>
      </x:c>
      <x:c r="F196" s="25" t="str">
        <x:v>学案Q题、课堂练习、当堂检测与过程观察</x:v>
      </x:c>
      <x:c r="G196" s="25" t="str">
        <x:v>通过</x:v>
      </x:c>
    </x:row>
    <x:row r="197" ht="42" customHeight="1">
      <x:c r="A197" s="25" t="str">
        <x:v>C12-L02</x:v>
      </x:c>
      <x:c r="B197" s="25" t="str">
        <x:v>抽样调查</x:v>
      </x:c>
      <x:c r="C197" s="25" t="n">
        <x:v>1</x:v>
      </x:c>
      <x:c r="D197" s="25" t="str">
        <x:v>通过阅读、观察或操作，准确说出总体、个体、样本、样本容量、简单随机抽样的含义、表示或基本步骤。</x:v>
      </x:c>
      <x:c r="E197" s="25" t="str">
        <x:v>目标1：Q1、Q2共5分，达到4分视为达成。</x:v>
      </x:c>
      <x:c r="F197" s="25" t="str">
        <x:v>学案Q题、课堂练习、当堂检测与过程观察</x:v>
      </x:c>
      <x:c r="G197" s="25" t="str">
        <x:v>通过</x:v>
      </x:c>
    </x:row>
    <x:row r="198" ht="42" customHeight="1">
      <x:c r="A198" s="25" t="str">
        <x:v>C12-L02</x:v>
      </x:c>
      <x:c r="B198" s="25" t="str">
        <x:v>抽样调查</x:v>
      </x:c>
      <x:c r="C198" s="25" t="n">
        <x:v>2</x:v>
      </x:c>
      <x:c r="D198" s="25" t="str">
        <x:v>在Q2—Q4中运用“判断调查方式并识别总体和样本”，能用完整语言、式子、图形或图表说明依据。</x:v>
      </x:c>
      <x:c r="E198" s="25" t="str">
        <x:v>目标2：Q3、Q4共7分，达到5分视为达成。</x:v>
      </x:c>
      <x:c r="F198" s="25" t="str">
        <x:v>学案Q题、课堂练习、当堂检测与过程观察</x:v>
      </x:c>
      <x:c r="G198" s="25" t="str">
        <x:v>通过</x:v>
      </x:c>
    </x:row>
    <x:row r="199" ht="42" customHeight="1">
      <x:c r="A199" s="25" t="str">
        <x:v>C12-L02</x:v>
      </x:c>
      <x:c r="B199" s="25" t="str">
        <x:v>抽样调查</x:v>
      </x:c>
      <x:c r="C199" s="25" t="n">
        <x:v>3</x:v>
      </x:c>
      <x:c r="D199" s="25" t="str">
        <x:v>在基础与变式练习中运用“判断调查方式并识别总体和样本”解决同类问题，并对结果进行检验。</x:v>
      </x:c>
      <x:c r="E199" s="25" t="str">
        <x:v>目标3：Q5—Q8共14分，达到11分视为达成。</x:v>
      </x:c>
      <x:c r="F199" s="25" t="str">
        <x:v>学案Q题、课堂练习、当堂检测与过程观察</x:v>
      </x:c>
      <x:c r="G199" s="25" t="str">
        <x:v>通过</x:v>
      </x:c>
    </x:row>
    <x:row r="200" ht="42" customHeight="1">
      <x:c r="A200" s="25" t="str">
        <x:v>C12-L02</x:v>
      </x:c>
      <x:c r="B200" s="25" t="str">
        <x:v>抽样调查</x:v>
      </x:c>
      <x:c r="C200" s="25" t="n">
        <x:v>4</x:v>
      </x:c>
      <x:c r="D200" s="25" t="str">
        <x:v>在合作探究和互评中形成先审条件、再选方法、规范表达、主动复核的学习习惯。</x:v>
      </x:c>
      <x:c r="E200" s="25" t="str">
        <x:v>过程评价：记录完整、交流有依据、订正能说明错误原因。</x:v>
      </x:c>
      <x:c r="F200" s="25" t="str">
        <x:v>学案Q题、课堂练习、当堂检测与过程观察</x:v>
      </x:c>
      <x:c r="G200" s="25" t="str">
        <x:v>通过</x:v>
      </x:c>
    </x:row>
    <x:row r="201" ht="42" customHeight="1">
      <x:c r="A201" s="25" t="str">
        <x:v>C12-L03</x:v>
      </x:c>
      <x:c r="B201" s="25" t="str">
        <x:v>统计调查的选择与实践</x:v>
      </x:c>
      <x:c r="C201" s="25" t="n">
        <x:v>1</x:v>
      </x:c>
      <x:c r="D201" s="25" t="str">
        <x:v>通过阅读、观察或操作，准确说出调查方式选择、样本代表性、用样本估计总体的含义、表示或基本步骤。</x:v>
      </x:c>
      <x:c r="E201" s="25" t="str">
        <x:v>目标1：Q1、Q2共5分，达到4分视为达成。</x:v>
      </x:c>
      <x:c r="F201" s="25" t="str">
        <x:v>学案Q题、课堂练习、当堂检测与过程观察</x:v>
      </x:c>
      <x:c r="G201" s="25" t="str">
        <x:v>通过</x:v>
      </x:c>
    </x:row>
    <x:row r="202" ht="42" customHeight="1">
      <x:c r="A202" s="25" t="str">
        <x:v>C12-L03</x:v>
      </x:c>
      <x:c r="B202" s="25" t="str">
        <x:v>统计调查的选择与实践</x:v>
      </x:c>
      <x:c r="C202" s="25" t="n">
        <x:v>2</x:v>
      </x:c>
      <x:c r="D202" s="25" t="str">
        <x:v>在Q2—Q4中运用“根据对象、成本和精度选择调查方式”，能用完整语言、式子、图形或图表说明依据。</x:v>
      </x:c>
      <x:c r="E202" s="25" t="str">
        <x:v>目标2：Q3、Q4共7分，达到5分视为达成。</x:v>
      </x:c>
      <x:c r="F202" s="25" t="str">
        <x:v>学案Q题、课堂练习、当堂检测与过程观察</x:v>
      </x:c>
      <x:c r="G202" s="25" t="str">
        <x:v>通过</x:v>
      </x:c>
    </x:row>
    <x:row r="203" ht="42" customHeight="1">
      <x:c r="A203" s="25" t="str">
        <x:v>C12-L03</x:v>
      </x:c>
      <x:c r="B203" s="25" t="str">
        <x:v>统计调查的选择与实践</x:v>
      </x:c>
      <x:c r="C203" s="25" t="n">
        <x:v>3</x:v>
      </x:c>
      <x:c r="D203" s="25" t="str">
        <x:v>在基础与变式练习中运用“根据对象、成本和精度选择调查方式”解决同类问题，并对结果进行检验。</x:v>
      </x:c>
      <x:c r="E203" s="25" t="str">
        <x:v>目标3：Q5—Q8共14分，达到11分视为达成。</x:v>
      </x:c>
      <x:c r="F203" s="25" t="str">
        <x:v>学案Q题、课堂练习、当堂检测与过程观察</x:v>
      </x:c>
      <x:c r="G203" s="25" t="str">
        <x:v>通过</x:v>
      </x:c>
    </x:row>
    <x:row r="204" ht="42" customHeight="1">
      <x:c r="A204" s="25" t="str">
        <x:v>C12-L03</x:v>
      </x:c>
      <x:c r="B204" s="25" t="str">
        <x:v>统计调查的选择与实践</x:v>
      </x:c>
      <x:c r="C204" s="25" t="n">
        <x:v>4</x:v>
      </x:c>
      <x:c r="D204" s="25" t="str">
        <x:v>在合作探究和互评中形成先审条件、再选方法、规范表达、主动复核的学习习惯。</x:v>
      </x:c>
      <x:c r="E204" s="25" t="str">
        <x:v>过程评价：记录完整、交流有依据、订正能说明错误原因。</x:v>
      </x:c>
      <x:c r="F204" s="25" t="str">
        <x:v>学案Q题、课堂练习、当堂检测与过程观察</x:v>
      </x:c>
      <x:c r="G204" s="25" t="str">
        <x:v>通过</x:v>
      </x:c>
    </x:row>
    <x:row r="205" ht="42" customHeight="1">
      <x:c r="A205" s="25" t="str">
        <x:v>C12-L04</x:v>
      </x:c>
      <x:c r="B205" s="25" t="str">
        <x:v>条形图与扇形图</x:v>
      </x:c>
      <x:c r="C205" s="25" t="n">
        <x:v>1</x:v>
      </x:c>
      <x:c r="D205" s="25" t="str">
        <x:v>通过阅读、观察或操作，准确说出条形图、扇形图、圆心角计算、统计图选择的含义、表示或基本步骤。</x:v>
      </x:c>
      <x:c r="E205" s="25" t="str">
        <x:v>目标1：Q1、Q2共5分，达到4分视为达成。</x:v>
      </x:c>
      <x:c r="F205" s="25" t="str">
        <x:v>学案Q题、课堂练习、当堂检测与过程观察</x:v>
      </x:c>
      <x:c r="G205" s="25" t="str">
        <x:v>通过</x:v>
      </x:c>
    </x:row>
    <x:row r="206" ht="42" customHeight="1">
      <x:c r="A206" s="25" t="str">
        <x:v>C12-L04</x:v>
      </x:c>
      <x:c r="B206" s="25" t="str">
        <x:v>条形图与扇形图</x:v>
      </x:c>
      <x:c r="C206" s="25" t="n">
        <x:v>2</x:v>
      </x:c>
      <x:c r="D206" s="25" t="str">
        <x:v>在Q2—Q4中运用“根据数据特点选择并绘制统计图”，能用完整语言、式子、图形或图表说明依据。</x:v>
      </x:c>
      <x:c r="E206" s="25" t="str">
        <x:v>目标2：Q3、Q4共7分，达到5分视为达成。</x:v>
      </x:c>
      <x:c r="F206" s="25" t="str">
        <x:v>学案Q题、课堂练习、当堂检测与过程观察</x:v>
      </x:c>
      <x:c r="G206" s="25" t="str">
        <x:v>通过</x:v>
      </x:c>
    </x:row>
    <x:row r="207" ht="42" customHeight="1">
      <x:c r="A207" s="25" t="str">
        <x:v>C12-L04</x:v>
      </x:c>
      <x:c r="B207" s="25" t="str">
        <x:v>条形图与扇形图</x:v>
      </x:c>
      <x:c r="C207" s="25" t="n">
        <x:v>3</x:v>
      </x:c>
      <x:c r="D207" s="25" t="str">
        <x:v>在基础与变式练习中运用“根据数据特点选择并绘制统计图”解决同类问题，并对结果进行检验。</x:v>
      </x:c>
      <x:c r="E207" s="25" t="str">
        <x:v>目标3：Q5—Q8共14分，达到11分视为达成。</x:v>
      </x:c>
      <x:c r="F207" s="25" t="str">
        <x:v>学案Q题、课堂练习、当堂检测与过程观察</x:v>
      </x:c>
      <x:c r="G207" s="25" t="str">
        <x:v>通过</x:v>
      </x:c>
    </x:row>
    <x:row r="208" ht="42" customHeight="1">
      <x:c r="A208" s="25" t="str">
        <x:v>C12-L04</x:v>
      </x:c>
      <x:c r="B208" s="25" t="str">
        <x:v>条形图与扇形图</x:v>
      </x:c>
      <x:c r="C208" s="25" t="n">
        <x:v>4</x:v>
      </x:c>
      <x:c r="D208" s="25" t="str">
        <x:v>在合作探究和互评中形成先审条件、再选方法、规范表达、主动复核的学习习惯。</x:v>
      </x:c>
      <x:c r="E208" s="25" t="str">
        <x:v>过程评价：记录完整、交流有依据、订正能说明错误原因。</x:v>
      </x:c>
      <x:c r="F208" s="25" t="str">
        <x:v>学案Q题、课堂练习、当堂检测与过程观察</x:v>
      </x:c>
      <x:c r="G208" s="25" t="str">
        <x:v>通过</x:v>
      </x:c>
    </x:row>
    <x:row r="209" ht="42" customHeight="1">
      <x:c r="A209" s="25" t="str">
        <x:v>C12-L05</x:v>
      </x:c>
      <x:c r="B209" s="25" t="str">
        <x:v>复合条形图与复合折线图</x:v>
      </x:c>
      <x:c r="C209" s="25" t="n">
        <x:v>1</x:v>
      </x:c>
      <x:c r="D209" s="25" t="str">
        <x:v>通过阅读、观察或操作，准确说出复合条形图、复合折线图、多组数据比较的含义、表示或基本步骤。</x:v>
      </x:c>
      <x:c r="E209" s="25" t="str">
        <x:v>目标1：Q1、Q2共5分，达到4分视为达成。</x:v>
      </x:c>
      <x:c r="F209" s="25" t="str">
        <x:v>学案Q题、课堂练习、当堂检测与过程观察</x:v>
      </x:c>
      <x:c r="G209" s="25" t="str">
        <x:v>通过</x:v>
      </x:c>
    </x:row>
    <x:row r="210" ht="42" customHeight="1">
      <x:c r="A210" s="25" t="str">
        <x:v>C12-L05</x:v>
      </x:c>
      <x:c r="B210" s="25" t="str">
        <x:v>复合条形图与复合折线图</x:v>
      </x:c>
      <x:c r="C210" s="25" t="n">
        <x:v>2</x:v>
      </x:c>
      <x:c r="D210" s="25" t="str">
        <x:v>在Q2—Q4中运用“用同一图表比较两组数据”，能用完整语言、式子、图形或图表说明依据。</x:v>
      </x:c>
      <x:c r="E210" s="25" t="str">
        <x:v>目标2：Q3、Q4共7分，达到5分视为达成。</x:v>
      </x:c>
      <x:c r="F210" s="25" t="str">
        <x:v>学案Q题、课堂练习、当堂检测与过程观察</x:v>
      </x:c>
      <x:c r="G210" s="25" t="str">
        <x:v>通过</x:v>
      </x:c>
    </x:row>
    <x:row r="211" ht="42" customHeight="1">
      <x:c r="A211" s="25" t="str">
        <x:v>C12-L05</x:v>
      </x:c>
      <x:c r="B211" s="25" t="str">
        <x:v>复合条形图与复合折线图</x:v>
      </x:c>
      <x:c r="C211" s="25" t="n">
        <x:v>3</x:v>
      </x:c>
      <x:c r="D211" s="25" t="str">
        <x:v>在基础与变式练习中运用“用同一图表比较两组数据”解决同类问题，并对结果进行检验。</x:v>
      </x:c>
      <x:c r="E211" s="25" t="str">
        <x:v>目标3：Q5—Q8共14分，达到11分视为达成。</x:v>
      </x:c>
      <x:c r="F211" s="25" t="str">
        <x:v>学案Q题、课堂练习、当堂检测与过程观察</x:v>
      </x:c>
      <x:c r="G211" s="25" t="str">
        <x:v>通过</x:v>
      </x:c>
    </x:row>
    <x:row r="212" ht="42" customHeight="1">
      <x:c r="A212" s="25" t="str">
        <x:v>C12-L05</x:v>
      </x:c>
      <x:c r="B212" s="25" t="str">
        <x:v>复合条形图与复合折线图</x:v>
      </x:c>
      <x:c r="C212" s="25" t="n">
        <x:v>4</x:v>
      </x:c>
      <x:c r="D212" s="25" t="str">
        <x:v>在合作探究和互评中形成先审条件、再选方法、规范表达、主动复核的学习习惯。</x:v>
      </x:c>
      <x:c r="E212" s="25" t="str">
        <x:v>过程评价：记录完整、交流有依据、订正能说明错误原因。</x:v>
      </x:c>
      <x:c r="F212" s="25" t="str">
        <x:v>学案Q题、课堂练习、当堂检测与过程观察</x:v>
      </x:c>
      <x:c r="G212" s="25" t="str">
        <x:v>通过</x:v>
      </x:c>
    </x:row>
    <x:row r="213" ht="42" customHeight="1">
      <x:c r="A213" s="25" t="str">
        <x:v>C12-L06</x:v>
      </x:c>
      <x:c r="B213" s="25" t="str">
        <x:v>频数分布表与直方图</x:v>
      </x:c>
      <x:c r="C213" s="25" t="n">
        <x:v>1</x:v>
      </x:c>
      <x:c r="D213" s="25" t="str">
        <x:v>通过阅读、观察或操作，准确说出极差、组距与组数、频数分布表、频数分布直方图的含义、表示或基本步骤。</x:v>
      </x:c>
      <x:c r="E213" s="25" t="str">
        <x:v>目标1：Q1、Q2共5分，达到4分视为达成。</x:v>
      </x:c>
      <x:c r="F213" s="25" t="str">
        <x:v>学案Q题、课堂练习、当堂检测与过程观察</x:v>
      </x:c>
      <x:c r="G213" s="25" t="str">
        <x:v>通过</x:v>
      </x:c>
    </x:row>
    <x:row r="214" ht="42" customHeight="1">
      <x:c r="A214" s="25" t="str">
        <x:v>C12-L06</x:v>
      </x:c>
      <x:c r="B214" s="25" t="str">
        <x:v>频数分布表与直方图</x:v>
      </x:c>
      <x:c r="C214" s="25" t="n">
        <x:v>2</x:v>
      </x:c>
      <x:c r="D214" s="25" t="str">
        <x:v>在Q2—Q4中运用“按步骤整理分组数据并绘制直方图”，能用完整语言、式子、图形或图表说明依据。</x:v>
      </x:c>
      <x:c r="E214" s="25" t="str">
        <x:v>目标2：Q3、Q4共7分，达到5分视为达成。</x:v>
      </x:c>
      <x:c r="F214" s="25" t="str">
        <x:v>学案Q题、课堂练习、当堂检测与过程观察</x:v>
      </x:c>
      <x:c r="G214" s="25" t="str">
        <x:v>通过</x:v>
      </x:c>
    </x:row>
    <x:row r="215" ht="42" customHeight="1">
      <x:c r="A215" s="25" t="str">
        <x:v>C12-L06</x:v>
      </x:c>
      <x:c r="B215" s="25" t="str">
        <x:v>频数分布表与直方图</x:v>
      </x:c>
      <x:c r="C215" s="25" t="n">
        <x:v>3</x:v>
      </x:c>
      <x:c r="D215" s="25" t="str">
        <x:v>在基础与变式练习中运用“按步骤整理分组数据并绘制直方图”解决同类问题，并对结果进行检验。</x:v>
      </x:c>
      <x:c r="E215" s="25" t="str">
        <x:v>目标3：Q5—Q8共14分，达到11分视为达成。</x:v>
      </x:c>
      <x:c r="F215" s="25" t="str">
        <x:v>学案Q题、课堂练习、当堂检测与过程观察</x:v>
      </x:c>
      <x:c r="G215" s="25" t="str">
        <x:v>通过</x:v>
      </x:c>
    </x:row>
    <x:row r="216" ht="42" customHeight="1">
      <x:c r="A216" s="25" t="str">
        <x:v>C12-L06</x:v>
      </x:c>
      <x:c r="B216" s="25" t="str">
        <x:v>频数分布表与直方图</x:v>
      </x:c>
      <x:c r="C216" s="25" t="n">
        <x:v>4</x:v>
      </x:c>
      <x:c r="D216" s="25" t="str">
        <x:v>在合作探究和互评中形成先审条件、再选方法、规范表达、主动复核的学习习惯。</x:v>
      </x:c>
      <x:c r="E216" s="25" t="str">
        <x:v>过程评价：记录完整、交流有依据、订正能说明错误原因。</x:v>
      </x:c>
      <x:c r="F216" s="25" t="str">
        <x:v>学案Q题、课堂练习、当堂检测与过程观察</x:v>
      </x:c>
      <x:c r="G216" s="25" t="str">
        <x:v>通过</x:v>
      </x:c>
    </x:row>
    <x:row r="217" ht="42" customHeight="1">
      <x:c r="A217" s="25" t="str">
        <x:v>C12-L07</x:v>
      </x:c>
      <x:c r="B217" s="25" t="str">
        <x:v>直方图的应用与解释</x:v>
      </x:c>
      <x:c r="C217" s="25" t="n">
        <x:v>1</x:v>
      </x:c>
      <x:c r="D217" s="25" t="str">
        <x:v>通过阅读、观察或操作，准确说出分组数据整理、直方图解释、用样本估计总体分布的含义、表示或基本步骤。</x:v>
      </x:c>
      <x:c r="E217" s="25" t="str">
        <x:v>目标1：Q1、Q2共5分，达到4分视为达成。</x:v>
      </x:c>
      <x:c r="F217" s="25" t="str">
        <x:v>学案Q题、课堂练习、当堂检测与过程观察</x:v>
      </x:c>
      <x:c r="G217" s="25" t="str">
        <x:v>通过</x:v>
      </x:c>
    </x:row>
    <x:row r="218" ht="42" customHeight="1">
      <x:c r="A218" s="25" t="str">
        <x:v>C12-L07</x:v>
      </x:c>
      <x:c r="B218" s="25" t="str">
        <x:v>直方图的应用与解释</x:v>
      </x:c>
      <x:c r="C218" s="25" t="n">
        <x:v>2</x:v>
      </x:c>
      <x:c r="D218" s="25" t="str">
        <x:v>在Q2—Q4中运用“从直方图描述数据集中范围”，能用完整语言、式子、图形或图表说明依据。</x:v>
      </x:c>
      <x:c r="E218" s="25" t="str">
        <x:v>目标2：Q3、Q4共7分，达到5分视为达成。</x:v>
      </x:c>
      <x:c r="F218" s="25" t="str">
        <x:v>学案Q题、课堂练习、当堂检测与过程观察</x:v>
      </x:c>
      <x:c r="G218" s="25" t="str">
        <x:v>通过</x:v>
      </x:c>
    </x:row>
    <x:row r="219" ht="42" customHeight="1">
      <x:c r="A219" s="25" t="str">
        <x:v>C12-L07</x:v>
      </x:c>
      <x:c r="B219" s="25" t="str">
        <x:v>直方图的应用与解释</x:v>
      </x:c>
      <x:c r="C219" s="25" t="n">
        <x:v>3</x:v>
      </x:c>
      <x:c r="D219" s="25" t="str">
        <x:v>在基础与变式练习中运用“从直方图描述数据集中范围”解决同类问题，并对结果进行检验。</x:v>
      </x:c>
      <x:c r="E219" s="25" t="str">
        <x:v>目标3：Q5—Q8共14分，达到11分视为达成。</x:v>
      </x:c>
      <x:c r="F219" s="25" t="str">
        <x:v>学案Q题、课堂练习、当堂检测与过程观察</x:v>
      </x:c>
      <x:c r="G219" s="25" t="str">
        <x:v>通过</x:v>
      </x:c>
    </x:row>
    <x:row r="220" ht="42" customHeight="1">
      <x:c r="A220" s="25" t="str">
        <x:v>C12-L07</x:v>
      </x:c>
      <x:c r="B220" s="25" t="str">
        <x:v>直方图的应用与解释</x:v>
      </x:c>
      <x:c r="C220" s="25" t="n">
        <x:v>4</x:v>
      </x:c>
      <x:c r="D220" s="25" t="str">
        <x:v>在合作探究和互评中形成先审条件、再选方法、规范表达、主动复核的学习习惯。</x:v>
      </x:c>
      <x:c r="E220" s="25" t="str">
        <x:v>过程评价：记录完整、交流有依据、订正能说明错误原因。</x:v>
      </x:c>
      <x:c r="F220" s="25" t="str">
        <x:v>学案Q题、课堂练习、当堂检测与过程观察</x:v>
      </x:c>
      <x:c r="G220" s="25" t="str">
        <x:v>通过</x:v>
      </x:c>
    </x:row>
    <x:row r="221" ht="42" customHeight="1">
      <x:c r="A221" s="25" t="str">
        <x:v>C12-L08</x:v>
      </x:c>
      <x:c r="B221" s="25" t="str">
        <x:v>用趋势图描述两个量的关系</x:v>
      </x:c>
      <x:c r="C221" s="25" t="n">
        <x:v>1</x:v>
      </x:c>
      <x:c r="D221" s="25" t="str">
        <x:v>通过阅读、观察或操作，准确说出散点直观、趋势图、两个量的变化关系、预测的含义、表示或基本步骤。</x:v>
      </x:c>
      <x:c r="E221" s="25" t="str">
        <x:v>目标1：Q1、Q2共5分，达到4分视为达成。</x:v>
      </x:c>
      <x:c r="F221" s="25" t="str">
        <x:v>学案Q题、课堂练习、当堂检测与过程观察</x:v>
      </x:c>
      <x:c r="G221" s="25" t="str">
        <x:v>通过</x:v>
      </x:c>
    </x:row>
    <x:row r="222" ht="42" customHeight="1">
      <x:c r="A222" s="25" t="str">
        <x:v>C12-L08</x:v>
      </x:c>
      <x:c r="B222" s="25" t="str">
        <x:v>用趋势图描述两个量的关系</x:v>
      </x:c>
      <x:c r="C222" s="25" t="n">
        <x:v>2</x:v>
      </x:c>
      <x:c r="D222" s="25" t="str">
        <x:v>在Q2—Q4中运用“从散点分布判断总体趋势”，能用完整语言、式子、图形或图表说明依据。</x:v>
      </x:c>
      <x:c r="E222" s="25" t="str">
        <x:v>目标2：Q3、Q4共7分，达到5分视为达成。</x:v>
      </x:c>
      <x:c r="F222" s="25" t="str">
        <x:v>学案Q题、课堂练习、当堂检测与过程观察</x:v>
      </x:c>
      <x:c r="G222" s="25" t="str">
        <x:v>通过</x:v>
      </x:c>
    </x:row>
    <x:row r="223" ht="42" customHeight="1">
      <x:c r="A223" s="25" t="str">
        <x:v>C12-L08</x:v>
      </x:c>
      <x:c r="B223" s="25" t="str">
        <x:v>用趋势图描述两个量的关系</x:v>
      </x:c>
      <x:c r="C223" s="25" t="n">
        <x:v>3</x:v>
      </x:c>
      <x:c r="D223" s="25" t="str">
        <x:v>在基础与变式练习中运用“从散点分布判断总体趋势”解决同类问题，并对结果进行检验。</x:v>
      </x:c>
      <x:c r="E223" s="25" t="str">
        <x:v>目标3：Q5—Q8共14分，达到11分视为达成。</x:v>
      </x:c>
      <x:c r="F223" s="25" t="str">
        <x:v>学案Q题、课堂练习、当堂检测与过程观察</x:v>
      </x:c>
      <x:c r="G223" s="25" t="str">
        <x:v>通过</x:v>
      </x:c>
    </x:row>
    <x:row r="224" ht="42" customHeight="1">
      <x:c r="A224" s="25" t="str">
        <x:v>C12-L08</x:v>
      </x:c>
      <x:c r="B224" s="25" t="str">
        <x:v>用趋势图描述两个量的关系</x:v>
      </x:c>
      <x:c r="C224" s="25" t="n">
        <x:v>4</x:v>
      </x:c>
      <x:c r="D224" s="25" t="str">
        <x:v>在合作探究和互评中形成先审条件、再选方法、规范表达、主动复核的学习习惯。</x:v>
      </x:c>
      <x:c r="E224" s="25" t="str">
        <x:v>过程评价：记录完整、交流有依据、订正能说明错误原因。</x:v>
      </x:c>
      <x:c r="F224" s="25" t="str">
        <x:v>学案Q题、课堂练习、当堂检测与过程观察</x:v>
      </x:c>
      <x:c r="G224" s="25" t="str">
        <x:v>通过</x:v>
      </x:c>
    </x:row>
    <x:row r="225" ht="42" customHeight="1">
      <x:c r="A225" s="25" t="str">
        <x:v>C12-L09</x:v>
      </x:c>
      <x:c r="B225" s="25" t="str">
        <x:v>统计图的选择与综合应用</x:v>
      </x:c>
      <x:c r="C225" s="25" t="n">
        <x:v>1</x:v>
      </x:c>
      <x:c r="D225" s="25" t="str">
        <x:v>通过阅读、观察或操作，准确说出统计图选择、数据比较、分组数据、趋势解释的含义、表示或基本步骤。</x:v>
      </x:c>
      <x:c r="E225" s="25" t="str">
        <x:v>目标1：Q1、Q2共5分，达到4分视为达成。</x:v>
      </x:c>
      <x:c r="F225" s="25" t="str">
        <x:v>学案Q题、课堂练习、当堂检测与过程观察</x:v>
      </x:c>
      <x:c r="G225" s="25" t="str">
        <x:v>通过</x:v>
      </x:c>
    </x:row>
    <x:row r="226" ht="42" customHeight="1">
      <x:c r="A226" s="25" t="str">
        <x:v>C12-L09</x:v>
      </x:c>
      <x:c r="B226" s="25" t="str">
        <x:v>统计图的选择与综合应用</x:v>
      </x:c>
      <x:c r="C226" s="25" t="n">
        <x:v>2</x:v>
      </x:c>
      <x:c r="D226" s="25" t="str">
        <x:v>在Q2—Q4中运用“根据问题目的选择合适图表”，能用完整语言、式子、图形或图表说明依据。</x:v>
      </x:c>
      <x:c r="E226" s="25" t="str">
        <x:v>目标2：Q3、Q4共7分，达到5分视为达成。</x:v>
      </x:c>
      <x:c r="F226" s="25" t="str">
        <x:v>学案Q题、课堂练习、当堂检测与过程观察</x:v>
      </x:c>
      <x:c r="G226" s="25" t="str">
        <x:v>通过</x:v>
      </x:c>
    </x:row>
    <x:row r="227" ht="42" customHeight="1">
      <x:c r="A227" s="25" t="str">
        <x:v>C12-L09</x:v>
      </x:c>
      <x:c r="B227" s="25" t="str">
        <x:v>统计图的选择与综合应用</x:v>
      </x:c>
      <x:c r="C227" s="25" t="n">
        <x:v>3</x:v>
      </x:c>
      <x:c r="D227" s="25" t="str">
        <x:v>在基础与变式练习中运用“根据问题目的选择合适图表”解决同类问题，并对结果进行检验。</x:v>
      </x:c>
      <x:c r="E227" s="25" t="str">
        <x:v>目标3：Q5—Q8共14分，达到11分视为达成。</x:v>
      </x:c>
      <x:c r="F227" s="25" t="str">
        <x:v>学案Q题、课堂练习、当堂检测与过程观察</x:v>
      </x:c>
      <x:c r="G227" s="25" t="str">
        <x:v>通过</x:v>
      </x:c>
    </x:row>
    <x:row r="228" ht="42" customHeight="1">
      <x:c r="A228" s="25" t="str">
        <x:v>C12-L09</x:v>
      </x:c>
      <x:c r="B228" s="25" t="str">
        <x:v>统计图的选择与综合应用</x:v>
      </x:c>
      <x:c r="C228" s="25" t="n">
        <x:v>4</x:v>
      </x:c>
      <x:c r="D228" s="25" t="str">
        <x:v>在合作探究和互评中形成先审条件、再选方法、规范表达、主动复核的学习习惯。</x:v>
      </x:c>
      <x:c r="E228" s="25" t="str">
        <x:v>过程评价：记录完整、交流有依据、订正能说明错误原因。</x:v>
      </x:c>
      <x:c r="F228" s="25" t="str">
        <x:v>学案Q题、课堂练习、当堂检测与过程观察</x:v>
      </x:c>
      <x:c r="G228" s="25" t="str">
        <x:v>通过</x:v>
      </x:c>
    </x:row>
    <x:row r="229" ht="42" customHeight="1">
      <x:c r="A229" s="25" t="str">
        <x:v>C12-L10</x:v>
      </x:c>
      <x:c r="B229" s="25" t="str">
        <x:v>统计图的信息技术应用与数学活动</x:v>
      </x:c>
      <x:c r="C229" s="25" t="n">
        <x:v>1</x:v>
      </x:c>
      <x:c r="D229" s="25" t="str">
        <x:v>通过阅读、观察或操作，准确说出用信息技术画统计图、统计学发展、统计活动的含义、表示或基本步骤。</x:v>
      </x:c>
      <x:c r="E229" s="25" t="str">
        <x:v>目标1：Q1、Q2共5分，达到4分视为达成。</x:v>
      </x:c>
      <x:c r="F229" s="25" t="str">
        <x:v>学案Q题、课堂练习、当堂检测与过程观察</x:v>
      </x:c>
      <x:c r="G229" s="25" t="str">
        <x:v>通过</x:v>
      </x:c>
    </x:row>
    <x:row r="230" ht="42" customHeight="1">
      <x:c r="A230" s="25" t="str">
        <x:v>C12-L10</x:v>
      </x:c>
      <x:c r="B230" s="25" t="str">
        <x:v>统计图的信息技术应用与数学活动</x:v>
      </x:c>
      <x:c r="C230" s="25" t="n">
        <x:v>2</x:v>
      </x:c>
      <x:c r="D230" s="25" t="str">
        <x:v>在Q2—Q4中运用“选择工具准确录入数据并核对图表”，能用完整语言、式子、图形或图表说明依据。</x:v>
      </x:c>
      <x:c r="E230" s="25" t="str">
        <x:v>目标2：Q3、Q4共7分，达到5分视为达成。</x:v>
      </x:c>
      <x:c r="F230" s="25" t="str">
        <x:v>学案Q题、课堂练习、当堂检测与过程观察</x:v>
      </x:c>
      <x:c r="G230" s="25" t="str">
        <x:v>通过</x:v>
      </x:c>
    </x:row>
    <x:row r="231" ht="42" customHeight="1">
      <x:c r="A231" s="25" t="str">
        <x:v>C12-L10</x:v>
      </x:c>
      <x:c r="B231" s="25" t="str">
        <x:v>统计图的信息技术应用与数学活动</x:v>
      </x:c>
      <x:c r="C231" s="25" t="n">
        <x:v>3</x:v>
      </x:c>
      <x:c r="D231" s="25" t="str">
        <x:v>在基础与变式练习中运用“选择工具准确录入数据并核对图表”解决同类问题，并对结果进行检验。</x:v>
      </x:c>
      <x:c r="E231" s="25" t="str">
        <x:v>目标3：Q5—Q8共14分，达到11分视为达成。</x:v>
      </x:c>
      <x:c r="F231" s="25" t="str">
        <x:v>学案Q题、课堂练习、当堂检测与过程观察</x:v>
      </x:c>
      <x:c r="G231" s="25" t="str">
        <x:v>通过</x:v>
      </x:c>
    </x:row>
    <x:row r="232" ht="42" customHeight="1">
      <x:c r="A232" s="25" t="str">
        <x:v>C12-L10</x:v>
      </x:c>
      <x:c r="B232" s="25" t="str">
        <x:v>统计图的信息技术应用与数学活动</x:v>
      </x:c>
      <x:c r="C232" s="25" t="n">
        <x:v>4</x:v>
      </x:c>
      <x:c r="D232" s="25" t="str">
        <x:v>在合作探究和互评中形成先审条件、再选方法、规范表达、主动复核的学习习惯。</x:v>
      </x:c>
      <x:c r="E232" s="25" t="str">
        <x:v>过程评价：记录完整、交流有依据、订正能说明错误原因。</x:v>
      </x:c>
      <x:c r="F232" s="25" t="str">
        <x:v>学案Q题、课堂练习、当堂检测与过程观察</x:v>
      </x:c>
      <x:c r="G232" s="25" t="str">
        <x:v>通过</x:v>
      </x:c>
    </x:row>
    <x:row r="233" ht="42" customHeight="1">
      <x:c r="A233" s="25" t="str">
        <x:v>C12-L11</x:v>
      </x:c>
      <x:c r="B233" s="25" t="str">
        <x:v>数据的收集、整理与描述章末复习</x:v>
      </x:c>
      <x:c r="C233" s="25" t="n">
        <x:v>1</x:v>
      </x:c>
      <x:c r="D233" s="25" t="str">
        <x:v>通过阅读、观察或操作，准确说出统计调查、抽样、统计表与统计图、直方图、趋势图的含义、表示或基本步骤。</x:v>
      </x:c>
      <x:c r="E233" s="25" t="str">
        <x:v>目标1：Q1、Q2共5分，达到4分视为达成。</x:v>
      </x:c>
      <x:c r="F233" s="25" t="str">
        <x:v>学案Q题、课堂练习、当堂检测与过程观察</x:v>
      </x:c>
      <x:c r="G233" s="25" t="str">
        <x:v>通过</x:v>
      </x:c>
    </x:row>
    <x:row r="234" ht="42" customHeight="1">
      <x:c r="A234" s="25" t="str">
        <x:v>C12-L11</x:v>
      </x:c>
      <x:c r="B234" s="25" t="str">
        <x:v>数据的收集、整理与描述章末复习</x:v>
      </x:c>
      <x:c r="C234" s="25" t="n">
        <x:v>2</x:v>
      </x:c>
      <x:c r="D234" s="25" t="str">
        <x:v>在Q2—Q4中运用“构建“收集—整理—描述—分析”统计流程”，能用完整语言、式子、图形或图表说明依据。</x:v>
      </x:c>
      <x:c r="E234" s="25" t="str">
        <x:v>目标2：Q3、Q4共7分，达到5分视为达成。</x:v>
      </x:c>
      <x:c r="F234" s="25" t="str">
        <x:v>学案Q题、课堂练习、当堂检测与过程观察</x:v>
      </x:c>
      <x:c r="G234" s="25" t="str">
        <x:v>通过</x:v>
      </x:c>
    </x:row>
    <x:row r="235" ht="42" customHeight="1">
      <x:c r="A235" s="25" t="str">
        <x:v>C12-L11</x:v>
      </x:c>
      <x:c r="B235" s="25" t="str">
        <x:v>数据的收集、整理与描述章末复习</x:v>
      </x:c>
      <x:c r="C235" s="25" t="n">
        <x:v>3</x:v>
      </x:c>
      <x:c r="D235" s="25" t="str">
        <x:v>在基础与变式练习中运用“构建“收集—整理—描述—分析”统计流程”解决同类问题，并对结果进行检验。</x:v>
      </x:c>
      <x:c r="E235" s="25" t="str">
        <x:v>目标3：Q5—Q8共14分，达到11分视为达成。</x:v>
      </x:c>
      <x:c r="F235" s="25" t="str">
        <x:v>学案Q题、课堂练习、当堂检测与过程观察</x:v>
      </x:c>
      <x:c r="G235" s="25" t="str">
        <x:v>通过</x:v>
      </x:c>
    </x:row>
    <x:row r="236" ht="42" customHeight="1">
      <x:c r="A236" s="25" t="str">
        <x:v>C12-L11</x:v>
      </x:c>
      <x:c r="B236" s="25" t="str">
        <x:v>数据的收集、整理与描述章末复习</x:v>
      </x:c>
      <x:c r="C236" s="25" t="n">
        <x:v>4</x:v>
      </x:c>
      <x:c r="D236" s="25" t="str">
        <x:v>在合作探究和互评中形成先审条件、再选方法、规范表达、主动复核的学习习惯。</x:v>
      </x:c>
      <x:c r="E236" s="25" t="str">
        <x:v>过程评价：记录完整、交流有依据、订正能说明错误原因。</x:v>
      </x:c>
      <x:c r="F236" s="25" t="str">
        <x:v>学案Q题、课堂练习、当堂检测与过程观察</x:v>
      </x:c>
      <x:c r="G236" s="25" t="str">
        <x:v>通过</x:v>
      </x:c>
    </x:row>
    <x:row r="237" ht="42" customHeight="1">
      <x:c r="A237" s="25" t="str">
        <x:v>C12-L12</x:v>
      </x:c>
      <x:c r="B237" s="25" t="str">
        <x:v>白昼时长规律的探究</x:v>
      </x:c>
      <x:c r="C237" s="25" t="n">
        <x:v>1</x:v>
      </x:c>
      <x:c r="D237" s="25" t="str">
        <x:v>通过阅读、观察或操作，准确说出数据收集、统计图、趋势描述、周期规律、合作研究的含义、表示或基本步骤。</x:v>
      </x:c>
      <x:c r="E237" s="25" t="str">
        <x:v>目标1：Q1、Q2共5分，达到4分视为达成。</x:v>
      </x:c>
      <x:c r="F237" s="25" t="str">
        <x:v>学案Q题、课堂练习、当堂检测与过程观察</x:v>
      </x:c>
      <x:c r="G237" s="25" t="str">
        <x:v>通过</x:v>
      </x:c>
    </x:row>
    <x:row r="238" ht="42" customHeight="1">
      <x:c r="A238" s="25" t="str">
        <x:v>C12-L12</x:v>
      </x:c>
      <x:c r="B238" s="25" t="str">
        <x:v>白昼时长规律的探究</x:v>
      </x:c>
      <x:c r="C238" s="25" t="n">
        <x:v>2</x:v>
      </x:c>
      <x:c r="D238" s="25" t="str">
        <x:v>在Q2—Q4中运用“用数据和图表描述白昼时长变化规律”，能用完整语言、式子、图形或图表说明依据。</x:v>
      </x:c>
      <x:c r="E238" s="25" t="str">
        <x:v>目标2：Q3、Q4共7分，达到5分视为达成。</x:v>
      </x:c>
      <x:c r="F238" s="25" t="str">
        <x:v>学案Q题、课堂练习、当堂检测与过程观察</x:v>
      </x:c>
      <x:c r="G238" s="25" t="str">
        <x:v>通过</x:v>
      </x:c>
    </x:row>
    <x:row r="239" ht="42" customHeight="1">
      <x:c r="A239" s="25" t="str">
        <x:v>C12-L12</x:v>
      </x:c>
      <x:c r="B239" s="25" t="str">
        <x:v>白昼时长规律的探究</x:v>
      </x:c>
      <x:c r="C239" s="25" t="n">
        <x:v>3</x:v>
      </x:c>
      <x:c r="D239" s="25" t="str">
        <x:v>在基础与变式练习中运用“用数据和图表描述白昼时长变化规律”解决同类问题，并对结果进行检验。</x:v>
      </x:c>
      <x:c r="E239" s="25" t="str">
        <x:v>目标3：Q5—Q8共14分，达到11分视为达成。</x:v>
      </x:c>
      <x:c r="F239" s="25" t="str">
        <x:v>学案Q题、课堂练习、当堂检测与过程观察</x:v>
      </x:c>
      <x:c r="G239" s="25" t="str">
        <x:v>通过</x:v>
      </x:c>
    </x:row>
    <x:row r="240" ht="42" customHeight="1">
      <x:c r="A240" s="25" t="str">
        <x:v>C12-L12</x:v>
      </x:c>
      <x:c r="B240" s="25" t="str">
        <x:v>白昼时长规律的探究</x:v>
      </x:c>
      <x:c r="C240" s="25" t="n">
        <x:v>4</x:v>
      </x:c>
      <x:c r="D240" s="25" t="str">
        <x:v>在合作探究和互评中形成先审条件、再选方法、规范表达、主动复核的学习习惯。</x:v>
      </x:c>
      <x:c r="E240" s="25" t="str">
        <x:v>过程评价：记录完整、交流有依据、订正能说明错误原因。</x:v>
      </x:c>
      <x:c r="F240" s="25" t="str">
        <x:v>学案Q题、课堂练习、当堂检测与过程观察</x:v>
      </x:c>
      <x:c r="G240" s="25" t="str">
        <x:v>通过</x:v>
      </x:c>
    </x:row>
  </x:sheetData>
  <x:mergeCells>
    <x:mergeCell ref="A1:G1"/>
    <x:mergeCell ref="A2:G2"/>
  </x:mergeCells>
  <x:conditionalFormatting sqref="G5:G240">
    <x:cfRule type="containsText" dxfId="0" priority="1" operator="containsText" text="通过"/>
    <x:cfRule type="containsText" dxfId="1" priority="2" operator="containsText" text="复核"/>
  </x:conditionalFormatting>
  <x:pageMargins left="0.7" right="0.7" top="0.75" bottom="0.75" header="0.3" footer="0.3"/>
  <x:tableParts count="1">
    <x:tablePart xmlns:r="http://schemas.openxmlformats.org/officeDocument/2006/relationships" r:id="Raa81922cd8254085"/>
  </x:tableParts>
</x:worksheet>
</file>