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4357626c4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时清单" sheetId="1" r:id="R18bd8e28cb61442e"/>
    <x:sheet xmlns:r="http://schemas.openxmlformats.org/officeDocument/2006/relationships" name="教材覆盖" sheetId="2" r:id="Raa9c23f2b8424624"/>
    <x:sheet xmlns:r="http://schemas.openxmlformats.org/officeDocument/2006/relationships" name="章节统计" sheetId="3" r:id="R4ae6e62b3daf4be9"/>
    <x:sheet xmlns:r="http://schemas.openxmlformats.org/officeDocument/2006/relationships" name="检查说明" sheetId="4" r:id="R81d2a41759f543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26352E"/>
      <x:name val="Carlito"/>
    </x:font>
    <x:font>
      <x:b/>
      <x:sz val="11"/>
      <x:color rgb="FFFFFFFF"/>
      <x:name val="Carlito"/>
    </x:font>
    <x:font>
      <x:b/>
      <x:sz val="10"/>
      <x:color rgb="FF2F6B4F"/>
      <x:name val="Carlito"/>
    </x:font>
    <x:font>
      <x:b/>
      <x:sz val="10"/>
      <x:color rgb="FF276749"/>
      <x:name val="Carlito"/>
    </x:font>
    <x:font>
      <x:b/>
      <x:sz val="16"/>
      <x:color rgb="FFFFFFFF"/>
      <x:name val="Carlito"/>
    </x:font>
    <x:font>
      <x:i/>
      <x:sz val="10"/>
      <x:color rgb="FF415A4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F4F8F5"/>
      </x:patternFill>
    </x:fill>
  </x:fills>
  <x:borders count="3">
    <x:border/>
    <x:border>
      <x:left style="thin">
        <x:color rgb="FFDDE6E0"/>
      </x:left>
      <x:right style="thin">
        <x:color rgb="FFDDE6E0"/>
      </x:right>
      <x:top style="thin">
        <x:color rgb="FFDDE6E0"/>
      </x:top>
      <x:bottom style="thin">
        <x:color rgb="FFDDE6E0"/>
      </x:bottom>
    </x:border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b116457cb4435" /><Relationship Type="http://schemas.openxmlformats.org/officeDocument/2006/relationships/theme" Target="/xl/theme/theme1.xml" Id="R1676abb1e11847f7" /><Relationship Type="http://schemas.openxmlformats.org/officeDocument/2006/relationships/sharedStrings" Target="/xl/sharedStrings.xml" Id="Rb6429a00ba124c0f" /><Relationship Type="http://schemas.openxmlformats.org/officeDocument/2006/relationships/worksheet" Target="/xl/worksheets/sheet1.xml" Id="R18bd8e28cb61442e" /><Relationship Type="http://schemas.openxmlformats.org/officeDocument/2006/relationships/worksheet" Target="/xl/worksheets/sheet2.xml" Id="Raa9c23f2b8424624" /><Relationship Type="http://schemas.openxmlformats.org/officeDocument/2006/relationships/worksheet" Target="/xl/worksheets/sheet3.xml" Id="R4ae6e62b3daf4be9" /><Relationship Type="http://schemas.openxmlformats.org/officeDocument/2006/relationships/worksheet" Target="/xl/worksheets/sheet4.xml" Id="R81d2a41759f5439e" /></Relationships>
</file>

<file path=xl/tables/table1.xml><?xml version="1.0" encoding="utf-8"?>
<x:table xmlns:x="http://schemas.openxmlformats.org/spreadsheetml/2006/main" id="1" name="LessonTable" displayName="LessonTable" ref="A1:R60" headerRowCount="1" totalsRowCount="0" totalsRowShown="0">
  <x:tableColumns count="18">
    <x:tableColumn id="1" name="课时编号"/>
    <x:tableColumn id="2" name="章"/>
    <x:tableColumn id="3" name="节/小节"/>
    <x:tableColumn id="4" name="课题名称"/>
    <x:tableColumn id="5" name="课型"/>
    <x:tableColumn id="6" name="教材印刷页"/>
    <x:tableColumn id="7" name="PDF物理页"/>
    <x:tableColumn id="8" name="建议课时数"/>
    <x:tableColumn id="9" name="课时分钟"/>
    <x:tableColumn id="10" name="核心知识"/>
    <x:tableColumn id="11" name="前置知识"/>
    <x:tableColumn id="12" name="教学重点"/>
    <x:tableColumn id="13" name="教学难点"/>
    <x:tableColumn id="14" name="对应例题/栏目"/>
    <x:tableColumn id="15" name="对应练习"/>
    <x:tableColumn id="16" name="对应作业范围"/>
    <x:tableColumn id="17" name="需图形/图表"/>
    <x:tableColumn id="18" name="适合探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verageTable" displayName="CoverageTable" ref="A1:J306" headerRowCount="1" totalsRowCount="0" totalsRowShown="0">
  <x:tableColumns count="10">
    <x:tableColumn id="1" name="教材印刷页"/>
    <x:tableColumn id="2" name="PDF物理页"/>
    <x:tableColumn id="3" name="内容类型"/>
    <x:tableColumn id="4" name="教材内容/标记"/>
    <x:tableColumn id="5" name="课时编号"/>
    <x:tableColumn id="6" name="章"/>
    <x:tableColumn id="7" name="节/小节"/>
    <x:tableColumn id="8" name="课题名称"/>
    <x:tableColumn id="9" name="安排状态"/>
    <x:tableColumn id="10" name="复核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hapterTable" displayName="ChapterTable" ref="A1:G7" headerRowCount="1" totalsRowCount="0" totalsRowShown="0">
  <x:tableColumns count="7">
    <x:tableColumn id="1" name="章编号"/>
    <x:tableColumn id="2" name="章"/>
    <x:tableColumn id="3" name="教材页码"/>
    <x:tableColumn id="4" name="课时数"/>
    <x:tableColumn id="5" name="需图形/图表课时"/>
    <x:tableColumn id="6" name="探究课时"/>
    <x:tableColumn id="7" name="活动/复习/综合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d02cb1e71a45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a531fdea4949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7da9142cde341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5" hidden="0" customWidth="1"/>
    <x:col min="4" max="4" width="26" hidden="0" customWidth="1"/>
    <x:col min="5" max="5" width="16" hidden="0" customWidth="1"/>
    <x:col min="6" max="6" width="12" hidden="0" customWidth="1"/>
    <x:col min="7" max="7" width="12" hidden="0" customWidth="1"/>
    <x:col min="8" max="8" width="10" hidden="0" customWidth="1"/>
    <x:col min="9" max="9" width="10" hidden="0" customWidth="1"/>
    <x:col min="10" max="10" width="34" hidden="0" customWidth="1"/>
    <x:col min="11" max="11" width="30" hidden="0" customWidth="1"/>
    <x:col min="12" max="12" width="34" hidden="0" customWidth="1"/>
    <x:col min="13" max="13" width="34" hidden="0" customWidth="1"/>
    <x:col min="14" max="14" width="34" hidden="0" customWidth="1"/>
    <x:col min="15" max="15" width="32" hidden="0" customWidth="1"/>
    <x:col min="16" max="16" width="32" hidden="0" customWidth="1"/>
    <x:col min="17" max="17" width="12" hidden="0" customWidth="1"/>
    <x:col min="18" max="18" width="12" hidden="0" customWidth="1"/>
  </x:cols>
  <x:sheetData>
    <x:row r="1" ht="26.399999618530273" hidden="0" customHeight="1">
      <x:c r="A1" s="9" t="str">
        <x:v>课时编号</x:v>
      </x:c>
      <x:c r="B1" s="9" t="str">
        <x:v>章</x:v>
      </x:c>
      <x:c r="C1" s="9" t="str">
        <x:v>节/小节</x:v>
      </x:c>
      <x:c r="D1" s="9" t="str">
        <x:v>课题名称</x:v>
      </x:c>
      <x:c r="E1" s="9" t="str">
        <x:v>课型</x:v>
      </x:c>
      <x:c r="F1" s="9" t="str">
        <x:v>教材印刷页</x:v>
      </x:c>
      <x:c r="G1" s="9" t="str">
        <x:v>PDF物理页</x:v>
      </x:c>
      <x:c r="H1" s="9" t="str">
        <x:v>建议课时数</x:v>
      </x:c>
      <x:c r="I1" s="9" t="str">
        <x:v>课时分钟</x:v>
      </x:c>
      <x:c r="J1" s="9" t="str">
        <x:v>核心知识</x:v>
      </x:c>
      <x:c r="K1" s="9" t="str">
        <x:v>前置知识</x:v>
      </x:c>
      <x:c r="L1" s="9" t="str">
        <x:v>教学重点</x:v>
      </x:c>
      <x:c r="M1" s="9" t="str">
        <x:v>教学难点</x:v>
      </x:c>
      <x:c r="N1" s="9" t="str">
        <x:v>对应例题/栏目</x:v>
      </x:c>
      <x:c r="O1" s="9" t="str">
        <x:v>对应练习</x:v>
      </x:c>
      <x:c r="P1" s="9" t="str">
        <x:v>对应作业范围</x:v>
      </x:c>
      <x:c r="Q1" s="9" t="str">
        <x:v>需图形/图表</x:v>
      </x:c>
      <x:c r="R1" s="9" t="str">
        <x:v>适合探究</x:v>
      </x:c>
    </x:row>
    <x:row r="2" ht="60" hidden="0" customHeight="1">
      <x:c r="A2" s="10" t="str">
        <x:v>C07-L01</x:v>
      </x:c>
      <x:c r="B2" s="4" t="str">
        <x:v>第7章 相交线与平行线</x:v>
      </x:c>
      <x:c r="C2" s="4" t="str">
        <x:v>7.1.1</x:v>
      </x:c>
      <x:c r="D2" s="4" t="str">
        <x:v>相交线与对顶角</x:v>
      </x:c>
      <x:c r="E2" s="4" t="str">
        <x:v>new_lesson</x:v>
      </x:c>
      <x:c r="F2" s="11" t="str">
        <x:v>1—3</x:v>
      </x:c>
      <x:c r="G2" s="11" t="str">
        <x:v>8—10</x:v>
      </x:c>
      <x:c r="H2" s="11" t="n">
        <x:v>1</x:v>
      </x:c>
      <x:c r="I2" s="11" t="n">
        <x:v>45</x:v>
      </x:c>
      <x:c r="J2" s="4" t="str">
        <x:v>相交线；邻补角；对顶角及其性质</x:v>
      </x:c>
      <x:c r="K2" s="4" t="str">
        <x:v>直线与角；余角与补角</x:v>
      </x:c>
      <x:c r="L2" s="4" t="str">
        <x:v>识别邻补角和对顶角；运用对顶角相等</x:v>
      </x:c>
      <x:c r="M2" s="4" t="str">
        <x:v>从图形位置关系抽象角的关系</x:v>
      </x:c>
      <x:c r="N2" s="4" t="str">
        <x:v>教材7.1例1</x:v>
      </x:c>
      <x:c r="O2" s="4" t="str">
        <x:v>教材第3页练习</x:v>
      </x:c>
      <x:c r="P2" s="4" t="str">
        <x:v>教材7.1习题中对顶角基础题</x:v>
      </x:c>
      <x:c r="Q2" s="11" t="str">
        <x:v>是</x:v>
      </x:c>
      <x:c r="R2" s="11" t="str">
        <x:v>是</x:v>
      </x:c>
    </x:row>
    <x:row r="3" ht="60" hidden="0" customHeight="1">
      <x:c r="A3" s="10" t="str">
        <x:v>C07-L02</x:v>
      </x:c>
      <x:c r="B3" s="4" t="str">
        <x:v>第7章 相交线与平行线</x:v>
      </x:c>
      <x:c r="C3" s="4" t="str">
        <x:v>7.1.2</x:v>
      </x:c>
      <x:c r="D3" s="4" t="str">
        <x:v>垂线的概念与画法</x:v>
      </x:c>
      <x:c r="E3" s="4" t="str">
        <x:v>new_lesson</x:v>
      </x:c>
      <x:c r="F3" s="11" t="str">
        <x:v>4—5</x:v>
      </x:c>
      <x:c r="G3" s="11" t="str">
        <x:v>11—12</x:v>
      </x:c>
      <x:c r="H3" s="11" t="n">
        <x:v>1</x:v>
      </x:c>
      <x:c r="I3" s="11" t="n">
        <x:v>45</x:v>
      </x:c>
      <x:c r="J3" s="4" t="str">
        <x:v>垂直与垂线；垂足；过一点画已知直线的垂线</x:v>
      </x:c>
      <x:c r="K3" s="4" t="str">
        <x:v>相交线；直角</x:v>
      </x:c>
      <x:c r="L3" s="4" t="str">
        <x:v>垂直的符号表示；垂线基本事实与规范作图</x:v>
      </x:c>
      <x:c r="M3" s="4" t="str">
        <x:v>区分垂线、垂线段和垂足</x:v>
      </x:c>
      <x:c r="N3" s="4" t="str">
        <x:v>教材7.1例2</x:v>
      </x:c>
      <x:c r="O3" s="4" t="str">
        <x:v>教材第5页练习</x:v>
      </x:c>
      <x:c r="P3" s="4" t="str">
        <x:v>垂线画法与符号表示</x:v>
      </x:c>
      <x:c r="Q3" s="11" t="str">
        <x:v>是</x:v>
      </x:c>
      <x:c r="R3" s="11" t="str">
        <x:v>是</x:v>
      </x:c>
    </x:row>
    <x:row r="4" ht="48" hidden="0" customHeight="1">
      <x:c r="A4" s="10" t="str">
        <x:v>C07-L03</x:v>
      </x:c>
      <x:c r="B4" s="4" t="str">
        <x:v>第7章 相交线与平行线</x:v>
      </x:c>
      <x:c r="C4" s="4" t="str">
        <x:v>7.1.2</x:v>
      </x:c>
      <x:c r="D4" s="4" t="str">
        <x:v>垂线段与点到直线的距离</x:v>
      </x:c>
      <x:c r="E4" s="4" t="str">
        <x:v>new_lesson</x:v>
      </x:c>
      <x:c r="F4" s="11" t="str">
        <x:v>6</x:v>
      </x:c>
      <x:c r="G4" s="11" t="str">
        <x:v>13</x:v>
      </x:c>
      <x:c r="H4" s="11" t="n">
        <x:v>1</x:v>
      </x:c>
      <x:c r="I4" s="11" t="n">
        <x:v>45</x:v>
      </x:c>
      <x:c r="J4" s="4" t="str">
        <x:v>垂线段最短；点到直线的距离</x:v>
      </x:c>
      <x:c r="K4" s="4" t="str">
        <x:v>垂线画法；线段长度</x:v>
      </x:c>
      <x:c r="L4" s="4" t="str">
        <x:v>用垂线段表示点到直线的距离</x:v>
      </x:c>
      <x:c r="M4" s="4" t="str">
        <x:v>把“最短”结论用于实际问题</x:v>
      </x:c>
      <x:c r="N4" s="4" t="str">
        <x:v>教材第6页引水渠问题</x:v>
      </x:c>
      <x:c r="O4" s="4" t="str">
        <x:v>教材第6页练习</x:v>
      </x:c>
      <x:c r="P4" s="4" t="str">
        <x:v>垂线段最短与距离应用</x:v>
      </x:c>
      <x:c r="Q4" s="11" t="str">
        <x:v>是</x:v>
      </x:c>
      <x:c r="R4" s="11" t="str">
        <x:v>是</x:v>
      </x:c>
    </x:row>
    <x:row r="5" ht="60" hidden="0" customHeight="1">
      <x:c r="A5" s="10" t="str">
        <x:v>C07-L04</x:v>
      </x:c>
      <x:c r="B5" s="4" t="str">
        <x:v>第7章 相交线与平行线</x:v>
      </x:c>
      <x:c r="C5" s="4" t="str">
        <x:v>7.1.3</x:v>
      </x:c>
      <x:c r="D5" s="4" t="str">
        <x:v>两条直线被第三条直线所截</x:v>
      </x:c>
      <x:c r="E5" s="4" t="str">
        <x:v>new_lesson</x:v>
      </x:c>
      <x:c r="F5" s="11" t="str">
        <x:v>7—10</x:v>
      </x:c>
      <x:c r="G5" s="11" t="str">
        <x:v>14—17</x:v>
      </x:c>
      <x:c r="H5" s="11" t="n">
        <x:v>1</x:v>
      </x:c>
      <x:c r="I5" s="11" t="n">
        <x:v>45</x:v>
      </x:c>
      <x:c r="J5" s="4" t="str">
        <x:v>同位角；内错角；同旁内角；图形观察</x:v>
      </x:c>
      <x:c r="K5" s="4" t="str">
        <x:v>相交线；角的表示</x:v>
      </x:c>
      <x:c r="L5" s="4" t="str">
        <x:v>按位置识别三类角</x:v>
      </x:c>
      <x:c r="M5" s="4" t="str">
        <x:v>在复杂图形中确定两直线和截线</x:v>
      </x:c>
      <x:c r="N5" s="4" t="str">
        <x:v>教材7.1例3；观察与猜想“看图时的错觉”</x:v>
      </x:c>
      <x:c r="O5" s="4" t="str">
        <x:v>教材7.1习题第1—7题</x:v>
      </x:c>
      <x:c r="P5" s="4" t="str">
        <x:v>三线八角识别题</x:v>
      </x:c>
      <x:c r="Q5" s="11" t="str">
        <x:v>是</x:v>
      </x:c>
      <x:c r="R5" s="11" t="str">
        <x:v>是</x:v>
      </x:c>
    </x:row>
    <x:row r="6" ht="60" hidden="0" customHeight="1">
      <x:c r="A6" s="10" t="str">
        <x:v>C07-L05</x:v>
      </x:c>
      <x:c r="B6" s="4" t="str">
        <x:v>第7章 相交线与平行线</x:v>
      </x:c>
      <x:c r="C6" s="4" t="str">
        <x:v>7.2.1</x:v>
      </x:c>
      <x:c r="D6" s="4" t="str">
        <x:v>平行线与平行公理</x:v>
      </x:c>
      <x:c r="E6" s="4" t="str">
        <x:v>new_lesson</x:v>
      </x:c>
      <x:c r="F6" s="11" t="str">
        <x:v>11—12</x:v>
      </x:c>
      <x:c r="G6" s="11" t="str">
        <x:v>18—19</x:v>
      </x:c>
      <x:c r="H6" s="11" t="n">
        <x:v>1</x:v>
      </x:c>
      <x:c r="I6" s="11" t="n">
        <x:v>45</x:v>
      </x:c>
      <x:c r="J6" s="4" t="str">
        <x:v>平行线定义；平行线画法；平行公理及推论</x:v>
      </x:c>
      <x:c r="K6" s="4" t="str">
        <x:v>同一平面内直线的位置关系</x:v>
      </x:c>
      <x:c r="L6" s="4" t="str">
        <x:v>理解平行线基本事实并规范作图</x:v>
      </x:c>
      <x:c r="M6" s="4" t="str">
        <x:v>正确使用“同一平面内”条件</x:v>
      </x:c>
      <x:c r="N6" s="4" t="str">
        <x:v>教材第12页直尺三角尺画平行线</x:v>
      </x:c>
      <x:c r="O6" s="4" t="str">
        <x:v>教材第12页练习</x:v>
      </x:c>
      <x:c r="P6" s="4" t="str">
        <x:v>平行线定义与画法</x:v>
      </x:c>
      <x:c r="Q6" s="11" t="str">
        <x:v>是</x:v>
      </x:c>
      <x:c r="R6" s="11" t="str">
        <x:v>是</x:v>
      </x:c>
    </x:row>
    <x:row r="7" ht="60" hidden="0" customHeight="1">
      <x:c r="A7" s="10" t="str">
        <x:v>C07-L06</x:v>
      </x:c>
      <x:c r="B7" s="4" t="str">
        <x:v>第7章 相交线与平行线</x:v>
      </x:c>
      <x:c r="C7" s="4" t="str">
        <x:v>7.2.2</x:v>
      </x:c>
      <x:c r="D7" s="4" t="str">
        <x:v>平行线的判定</x:v>
      </x:c>
      <x:c r="E7" s="4" t="str">
        <x:v>new_lesson</x:v>
      </x:c>
      <x:c r="F7" s="11" t="str">
        <x:v>13—15</x:v>
      </x:c>
      <x:c r="G7" s="11" t="str">
        <x:v>20—22</x:v>
      </x:c>
      <x:c r="H7" s="11" t="n">
        <x:v>1</x:v>
      </x:c>
      <x:c r="I7" s="11" t="n">
        <x:v>45</x:v>
      </x:c>
      <x:c r="J7" s="4" t="str">
        <x:v>同位角判定；内错角判定；同旁内角判定</x:v>
      </x:c>
      <x:c r="K7" s="4" t="str">
        <x:v>三线八角；平行线定义</x:v>
      </x:c>
      <x:c r="L7" s="4" t="str">
        <x:v>三种判定方法及依据</x:v>
      </x:c>
      <x:c r="M7" s="4" t="str">
        <x:v>由角关系选择恰当判定方法</x:v>
      </x:c>
      <x:c r="N7" s="4" t="str">
        <x:v>教材7.2例1</x:v>
      </x:c>
      <x:c r="O7" s="4" t="str">
        <x:v>教材第14—15页练习</x:v>
      </x:c>
      <x:c r="P7" s="4" t="str">
        <x:v>平行线判定基础与说理</x:v>
      </x:c>
      <x:c r="Q7" s="11" t="str">
        <x:v>是</x:v>
      </x:c>
      <x:c r="R7" s="11" t="str">
        <x:v>是</x:v>
      </x:c>
    </x:row>
    <x:row r="8" ht="48" hidden="0" customHeight="1">
      <x:c r="A8" s="10" t="str">
        <x:v>C07-L07</x:v>
      </x:c>
      <x:c r="B8" s="4" t="str">
        <x:v>第7章 相交线与平行线</x:v>
      </x:c>
      <x:c r="C8" s="4" t="str">
        <x:v>7.2.3</x:v>
      </x:c>
      <x:c r="D8" s="4" t="str">
        <x:v>平行线的性质</x:v>
      </x:c>
      <x:c r="E8" s="4" t="str">
        <x:v>new_lesson</x:v>
      </x:c>
      <x:c r="F8" s="11" t="str">
        <x:v>16—18</x:v>
      </x:c>
      <x:c r="G8" s="11" t="str">
        <x:v>23—25</x:v>
      </x:c>
      <x:c r="H8" s="11" t="n">
        <x:v>1</x:v>
      </x:c>
      <x:c r="I8" s="11" t="n">
        <x:v>45</x:v>
      </x:c>
      <x:c r="J8" s="4" t="str">
        <x:v>平行线三条性质；性质与判定的区别</x:v>
      </x:c>
      <x:c r="K8" s="4" t="str">
        <x:v>平行线判定；三线八角</x:v>
      </x:c>
      <x:c r="L8" s="4" t="str">
        <x:v>由平行推出角关系</x:v>
      </x:c>
      <x:c r="M8" s="4" t="str">
        <x:v>区分“条件”和“结论”的方向</x:v>
      </x:c>
      <x:c r="N8" s="4" t="str">
        <x:v>教材7.2例2；教材7.2例3；教材7.2例4</x:v>
      </x:c>
      <x:c r="O8" s="4" t="str">
        <x:v>教材第16—18页练习</x:v>
      </x:c>
      <x:c r="P8" s="4" t="str">
        <x:v>平行线性质及简单推理</x:v>
      </x:c>
      <x:c r="Q8" s="11" t="str">
        <x:v>是</x:v>
      </x:c>
      <x:c r="R8" s="11" t="str">
        <x:v>是</x:v>
      </x:c>
    </x:row>
    <x:row r="9" ht="48" hidden="0" customHeight="1">
      <x:c r="A9" s="10" t="str">
        <x:v>C07-L08</x:v>
      </x:c>
      <x:c r="B9" s="4" t="str">
        <x:v>第7章 相交线与平行线</x:v>
      </x:c>
      <x:c r="C9" s="4" t="n">
        <x:v>7.2</x:v>
      </x:c>
      <x:c r="D9" s="4" t="str">
        <x:v>平行线的判定与性质综合</x:v>
      </x:c>
      <x:c r="E9" s="4" t="str">
        <x:v>practice_lesson</x:v>
      </x:c>
      <x:c r="F9" s="11" t="str">
        <x:v>19—21</x:v>
      </x:c>
      <x:c r="G9" s="11" t="str">
        <x:v>26—28</x:v>
      </x:c>
      <x:c r="H9" s="11" t="n">
        <x:v>1</x:v>
      </x:c>
      <x:c r="I9" s="11" t="n">
        <x:v>45</x:v>
      </x:c>
      <x:c r="J9" s="4" t="str">
        <x:v>判定与性质综合；几何语言与推理链</x:v>
      </x:c>
      <x:c r="K9" s="4" t="str">
        <x:v>平行线判定与性质</x:v>
      </x:c>
      <x:c r="L9" s="4" t="str">
        <x:v>按已知和所求选择依据</x:v>
      </x:c>
      <x:c r="M9" s="4" t="str">
        <x:v>完整书写多步几何推理</x:v>
      </x:c>
      <x:c r="N9" s="4" t="str">
        <x:v>教材7.2习题典型说理题</x:v>
      </x:c>
      <x:c r="O9" s="4" t="str">
        <x:v>教材7.2习题第1—13题</x:v>
      </x:c>
      <x:c r="P9" s="4" t="str">
        <x:v>7.2习题分层选题</x:v>
      </x:c>
      <x:c r="Q9" s="11" t="str">
        <x:v>是</x:v>
      </x:c>
      <x:c r="R9" s="11" t="str">
        <x:v>否</x:v>
      </x:c>
    </x:row>
    <x:row r="10" ht="84" hidden="0" customHeight="1">
      <x:c r="A10" s="10" t="str">
        <x:v>C07-L09</x:v>
      </x:c>
      <x:c r="B10" s="4" t="str">
        <x:v>第7章 相交线与平行线</x:v>
      </x:c>
      <x:c r="C10" s="4" t="n">
        <x:v>7.3</x:v>
      </x:c>
      <x:c r="D10" s="4" t="str">
        <x:v>定义、命题、定理</x:v>
      </x:c>
      <x:c r="E10" s="4" t="str">
        <x:v>new_lesson</x:v>
      </x:c>
      <x:c r="F10" s="11" t="str">
        <x:v>22—25</x:v>
      </x:c>
      <x:c r="G10" s="11" t="str">
        <x:v>29—32</x:v>
      </x:c>
      <x:c r="H10" s="11" t="n">
        <x:v>1</x:v>
      </x:c>
      <x:c r="I10" s="11" t="n">
        <x:v>45</x:v>
      </x:c>
      <x:c r="J10" s="4" t="str">
        <x:v>定义；命题的题设与结论；真命题和假命题；定理与证明；反例</x:v>
      </x:c>
      <x:c r="K10" s="4" t="str">
        <x:v>平行线判定与性质；数学语句</x:v>
      </x:c>
      <x:c r="L10" s="4" t="str">
        <x:v>把命题改写为“如果…那么…”并识别题设结论</x:v>
      </x:c>
      <x:c r="M10" s="4" t="str">
        <x:v>用证明或反例判断命题真假</x:v>
      </x:c>
      <x:c r="N10" s="4" t="str">
        <x:v>教材7.3证明例题</x:v>
      </x:c>
      <x:c r="O10" s="4" t="str">
        <x:v>教材第24—25页练习</x:v>
      </x:c>
      <x:c r="P10" s="4" t="str">
        <x:v>命题结构、真假判断与简单证明</x:v>
      </x:c>
      <x:c r="Q10" s="11" t="str">
        <x:v>是</x:v>
      </x:c>
      <x:c r="R10" s="11" t="str">
        <x:v>是</x:v>
      </x:c>
    </x:row>
    <x:row r="11" ht="72" hidden="0" customHeight="1">
      <x:c r="A11" s="10" t="str">
        <x:v>C07-L10</x:v>
      </x:c>
      <x:c r="B11" s="4" t="str">
        <x:v>第7章 相交线与平行线</x:v>
      </x:c>
      <x:c r="C11" s="4" t="n">
        <x:v>7.4</x:v>
      </x:c>
      <x:c r="D11" s="4" t="str">
        <x:v>平移的概念、性质与作图</x:v>
      </x:c>
      <x:c r="E11" s="4" t="str">
        <x:v>new_lesson</x:v>
      </x:c>
      <x:c r="F11" s="11" t="str">
        <x:v>26—29</x:v>
      </x:c>
      <x:c r="G11" s="11" t="str">
        <x:v>33—36</x:v>
      </x:c>
      <x:c r="H11" s="11" t="n">
        <x:v>1</x:v>
      </x:c>
      <x:c r="I11" s="11" t="n">
        <x:v>45</x:v>
      </x:c>
      <x:c r="J11" s="4" t="str">
        <x:v>平移；对应点与对应线段；平移性质；平移作图</x:v>
      </x:c>
      <x:c r="K11" s="4" t="str">
        <x:v>平行线；全等直观；基本作图</x:v>
      </x:c>
      <x:c r="L11" s="4" t="str">
        <x:v>根据方向和距离作平移图形</x:v>
      </x:c>
      <x:c r="M11" s="4" t="str">
        <x:v>确定所有对应点的平移方向和距离</x:v>
      </x:c>
      <x:c r="N11" s="4" t="str">
        <x:v>教材7.4例题</x:v>
      </x:c>
      <x:c r="O11" s="4" t="str">
        <x:v>教材第28—29页练习</x:v>
      </x:c>
      <x:c r="P11" s="4" t="str">
        <x:v>方格纸平移与性质应用</x:v>
      </x:c>
      <x:c r="Q11" s="11" t="str">
        <x:v>是</x:v>
      </x:c>
      <x:c r="R11" s="11" t="str">
        <x:v>是</x:v>
      </x:c>
    </x:row>
    <x:row r="12" ht="48" hidden="0" customHeight="1">
      <x:c r="A12" s="10" t="str">
        <x:v>C07-L11</x:v>
      </x:c>
      <x:c r="B12" s="4" t="str">
        <x:v>第7章 相交线与平行线</x:v>
      </x:c>
      <x:c r="C12" s="4" t="str">
        <x:v>7.4-探究与发现</x:v>
      </x:c>
      <x:c r="D12" s="4" t="str">
        <x:v>利用平移设计图案</x:v>
      </x:c>
      <x:c r="E12" s="4" t="str">
        <x:v>activity_lesson</x:v>
      </x:c>
      <x:c r="F12" s="11" t="str">
        <x:v>30—31</x:v>
      </x:c>
      <x:c r="G12" s="11" t="str">
        <x:v>37—38</x:v>
      </x:c>
      <x:c r="H12" s="11" t="n">
        <x:v>1</x:v>
      </x:c>
      <x:c r="I12" s="11" t="n">
        <x:v>45</x:v>
      </x:c>
      <x:c r="J12" s="4" t="str">
        <x:v>基本图形；连续平移；图案设计</x:v>
      </x:c>
      <x:c r="K12" s="4" t="str">
        <x:v>平移性质与作图</x:v>
      </x:c>
      <x:c r="L12" s="4" t="str">
        <x:v>选择基本图形并设计平移序列</x:v>
      </x:c>
      <x:c r="M12" s="4" t="str">
        <x:v>用数学语言说明图案生成过程</x:v>
      </x:c>
      <x:c r="N12" s="4" t="str">
        <x:v>探究与发现“利用平移设计图案”</x:v>
      </x:c>
      <x:c r="O12" s="4" t="str">
        <x:v>教材第30—31页设计任务</x:v>
      </x:c>
      <x:c r="P12" s="4" t="str">
        <x:v>完成并说明一幅平移图案</x:v>
      </x:c>
      <x:c r="Q12" s="11" t="str">
        <x:v>是</x:v>
      </x:c>
      <x:c r="R12" s="11" t="str">
        <x:v>是</x:v>
      </x:c>
    </x:row>
    <x:row r="13" ht="60" hidden="0" customHeight="1">
      <x:c r="A13" s="10" t="str">
        <x:v>C07-L12</x:v>
      </x:c>
      <x:c r="B13" s="4" t="str">
        <x:v>第7章 相交线与平行线</x:v>
      </x:c>
      <x:c r="C13" s="4" t="str">
        <x:v>数学活动</x:v>
      </x:c>
      <x:c r="D13" s="4" t="str">
        <x:v>相交线与平行线数学活动</x:v>
      </x:c>
      <x:c r="E13" s="4" t="str">
        <x:v>activity_lesson</x:v>
      </x:c>
      <x:c r="F13" s="11" t="str">
        <x:v>32—33</x:v>
      </x:c>
      <x:c r="G13" s="11" t="str">
        <x:v>39—40</x:v>
      </x:c>
      <x:c r="H13" s="11" t="n">
        <x:v>1</x:v>
      </x:c>
      <x:c r="I13" s="11" t="n">
        <x:v>45</x:v>
      </x:c>
      <x:c r="J13" s="4" t="str">
        <x:v>平行线画法探究；图案与建筑中的平行关系</x:v>
      </x:c>
      <x:c r="K13" s="4" t="str">
        <x:v>平行线判定；平移</x:v>
      </x:c>
      <x:c r="L13" s="4" t="str">
        <x:v>用所学知识解释活动结果</x:v>
      </x:c>
      <x:c r="M13" s="4" t="str">
        <x:v>把操作结果组织成有依据的说明</x:v>
      </x:c>
      <x:c r="N13" s="4" t="str">
        <x:v>教材第32—33页数学活动</x:v>
      </x:c>
      <x:c r="O13" s="4" t="str">
        <x:v>活动记录与小组展示</x:v>
      </x:c>
      <x:c r="P13" s="4" t="str">
        <x:v>活动报告完善</x:v>
      </x:c>
      <x:c r="Q13" s="11" t="str">
        <x:v>是</x:v>
      </x:c>
      <x:c r="R13" s="11" t="str">
        <x:v>是</x:v>
      </x:c>
    </x:row>
    <x:row r="14" ht="72" hidden="0" customHeight="1">
      <x:c r="A14" s="10" t="str">
        <x:v>C07-L13</x:v>
      </x:c>
      <x:c r="B14" s="4" t="str">
        <x:v>第7章 相交线与平行线</x:v>
      </x:c>
      <x:c r="C14" s="4" t="str">
        <x:v>小结与复习题7</x:v>
      </x:c>
      <x:c r="D14" s="4" t="str">
        <x:v>相交线与平行线章末复习</x:v>
      </x:c>
      <x:c r="E14" s="4" t="str">
        <x:v>review_lesson</x:v>
      </x:c>
      <x:c r="F14" s="11" t="str">
        <x:v>34—38</x:v>
      </x:c>
      <x:c r="G14" s="11" t="str">
        <x:v>41—45</x:v>
      </x:c>
      <x:c r="H14" s="11" t="n">
        <x:v>1</x:v>
      </x:c>
      <x:c r="I14" s="11" t="n">
        <x:v>45</x:v>
      </x:c>
      <x:c r="J14" s="4" t="str">
        <x:v>相交线；垂线；平行线判定与性质；命题证明；平移</x:v>
      </x:c>
      <x:c r="K14" s="4" t="str">
        <x:v>第七章全部内容</x:v>
      </x:c>
      <x:c r="L14" s="4" t="str">
        <x:v>构建位置关系—角关系—推理方法知识网络</x:v>
      </x:c>
      <x:c r="M14" s="4" t="str">
        <x:v>综合图形中的多步推理与规范表达</x:v>
      </x:c>
      <x:c r="N14" s="4" t="str">
        <x:v>教材小结典型问题</x:v>
      </x:c>
      <x:c r="O14" s="4" t="str">
        <x:v>教材复习题7</x:v>
      </x:c>
      <x:c r="P14" s="4" t="str">
        <x:v>复习题7分层选题</x:v>
      </x:c>
      <x:c r="Q14" s="11" t="str">
        <x:v>是</x:v>
      </x:c>
      <x:c r="R14" s="11" t="str">
        <x:v>否</x:v>
      </x:c>
    </x:row>
    <x:row r="15" ht="72" hidden="0" customHeight="1">
      <x:c r="A15" s="10" t="str">
        <x:v>C08-L01</x:v>
      </x:c>
      <x:c r="B15" s="4" t="str">
        <x:v>第8章 实数</x:v>
      </x:c>
      <x:c r="C15" s="4" t="n">
        <x:v>8.1</x:v>
      </x:c>
      <x:c r="D15" s="4" t="str">
        <x:v>平方根</x:v>
      </x:c>
      <x:c r="E15" s="4" t="str">
        <x:v>new_lesson</x:v>
      </x:c>
      <x:c r="F15" s="11" t="str">
        <x:v>39—41</x:v>
      </x:c>
      <x:c r="G15" s="11" t="str">
        <x:v>46—48</x:v>
      </x:c>
      <x:c r="H15" s="11" t="n">
        <x:v>1</x:v>
      </x:c>
      <x:c r="I15" s="11" t="n">
        <x:v>45</x:v>
      </x:c>
      <x:c r="J15" s="4" t="str">
        <x:v>平方根概念；正数与0的平方根；负数没有平方根</x:v>
      </x:c>
      <x:c r="K15" s="4" t="str">
        <x:v>有理数乘方；相反数</x:v>
      </x:c>
      <x:c r="L15" s="4" t="str">
        <x:v>根据平方关系求平方根</x:v>
      </x:c>
      <x:c r="M15" s="4" t="str">
        <x:v>平方根的双值性</x:v>
      </x:c>
      <x:c r="N15" s="4" t="str">
        <x:v>教材8.1例1；教材8.1例2</x:v>
      </x:c>
      <x:c r="O15" s="4" t="str">
        <x:v>教材第41页练习</x:v>
      </x:c>
      <x:c r="P15" s="4" t="str">
        <x:v>平方根概念与求值</x:v>
      </x:c>
      <x:c r="Q15" s="11" t="str">
        <x:v>否</x:v>
      </x:c>
      <x:c r="R15" s="11" t="str">
        <x:v>是</x:v>
      </x:c>
    </x:row>
    <x:row r="16" ht="72" hidden="0" customHeight="1">
      <x:c r="A16" s="10" t="str">
        <x:v>C08-L02</x:v>
      </x:c>
      <x:c r="B16" s="4" t="str">
        <x:v>第8章 实数</x:v>
      </x:c>
      <x:c r="C16" s="4" t="n">
        <x:v>8.1</x:v>
      </x:c>
      <x:c r="D16" s="4" t="str">
        <x:v>算术平方根</x:v>
      </x:c>
      <x:c r="E16" s="4" t="str">
        <x:v>new_lesson</x:v>
      </x:c>
      <x:c r="F16" s="11" t="str">
        <x:v>42—43</x:v>
      </x:c>
      <x:c r="G16" s="11" t="str">
        <x:v>49—50</x:v>
      </x:c>
      <x:c r="H16" s="11" t="n">
        <x:v>1</x:v>
      </x:c>
      <x:c r="I16" s="11" t="n">
        <x:v>45</x:v>
      </x:c>
      <x:c r="J16" s="4" t="str">
        <x:v>算术平方根；根号与被开方数；算术平方根的非负性</x:v>
      </x:c>
      <x:c r="K16" s="4" t="str">
        <x:v>平方根</x:v>
      </x:c>
      <x:c r="L16" s="4" t="str">
        <x:v>区分平方根与算术平方根</x:v>
      </x:c>
      <x:c r="M16" s="4" t="str">
        <x:v>正确理解根号表示的非负值</x:v>
      </x:c>
      <x:c r="N16" s="4" t="str">
        <x:v>教材8.1例3</x:v>
      </x:c>
      <x:c r="O16" s="4" t="str">
        <x:v>教材第42—43页练习</x:v>
      </x:c>
      <x:c r="P16" s="4" t="str">
        <x:v>算术平方根求值与辨析</x:v>
      </x:c>
      <x:c r="Q16" s="11" t="str">
        <x:v>是</x:v>
      </x:c>
      <x:c r="R16" s="11" t="str">
        <x:v>是</x:v>
      </x:c>
    </x:row>
    <x:row r="17" ht="84" hidden="0" customHeight="1">
      <x:c r="A17" s="10" t="str">
        <x:v>C08-L03</x:v>
      </x:c>
      <x:c r="B17" s="4" t="str">
        <x:v>第8章 实数</x:v>
      </x:c>
      <x:c r="C17" s="4" t="n">
        <x:v>8.1</x:v>
      </x:c>
      <x:c r="D17" s="4" t="str">
        <x:v>算术平方根的估算与应用</x:v>
      </x:c>
      <x:c r="E17" s="4" t="str">
        <x:v>new_lesson</x:v>
      </x:c>
      <x:c r="F17" s="11" t="str">
        <x:v>44—47</x:v>
      </x:c>
      <x:c r="G17" s="11" t="str">
        <x:v>51—54</x:v>
      </x:c>
      <x:c r="H17" s="11" t="n">
        <x:v>1</x:v>
      </x:c>
      <x:c r="I17" s="11" t="n">
        <x:v>45</x:v>
      </x:c>
      <x:c r="J17" s="4" t="str">
        <x:v>计算器求平方根；估算无理数范围；算术平方根实际应用</x:v>
      </x:c>
      <x:c r="K17" s="4" t="str">
        <x:v>算术平方根；近似数</x:v>
      </x:c>
      <x:c r="L17" s="4" t="str">
        <x:v>用夹逼和计算器求近似值</x:v>
      </x:c>
      <x:c r="M17" s="4" t="str">
        <x:v>结合实际条件解释近似结果</x:v>
      </x:c>
      <x:c r="N17" s="4" t="str">
        <x:v>教材8.1例4；教材8.1例5</x:v>
      </x:c>
      <x:c r="O17" s="4" t="str">
        <x:v>教材第44—47页练习与8.1习题</x:v>
      </x:c>
      <x:c r="P17" s="4" t="str">
        <x:v>估算、计算器与面积应用</x:v>
      </x:c>
      <x:c r="Q17" s="11" t="str">
        <x:v>是</x:v>
      </x:c>
      <x:c r="R17" s="11" t="str">
        <x:v>是</x:v>
      </x:c>
    </x:row>
    <x:row r="18" ht="48" hidden="0" customHeight="1">
      <x:c r="A18" s="10" t="str">
        <x:v>C08-L04</x:v>
      </x:c>
      <x:c r="B18" s="4" t="str">
        <x:v>第8章 实数</x:v>
      </x:c>
      <x:c r="C18" s="4" t="n">
        <x:v>8.2</x:v>
      </x:c>
      <x:c r="D18" s="4" t="str">
        <x:v>立方根</x:v>
      </x:c>
      <x:c r="E18" s="4" t="str">
        <x:v>new_lesson</x:v>
      </x:c>
      <x:c r="F18" s="11" t="str">
        <x:v>48—51</x:v>
      </x:c>
      <x:c r="G18" s="11" t="str">
        <x:v>55—58</x:v>
      </x:c>
      <x:c r="H18" s="11" t="n">
        <x:v>1</x:v>
      </x:c>
      <x:c r="I18" s="11" t="n">
        <x:v>45</x:v>
      </x:c>
      <x:c r="J18" s="4" t="str">
        <x:v>立方根；开立方；正负数和0的立方根</x:v>
      </x:c>
      <x:c r="K18" s="4" t="str">
        <x:v>有理数立方；平方根</x:v>
      </x:c>
      <x:c r="L18" s="4" t="str">
        <x:v>利用立方关系求立方根</x:v>
      </x:c>
      <x:c r="M18" s="4" t="str">
        <x:v>理解负数有负的立方根</x:v>
      </x:c>
      <x:c r="N18" s="4" t="str">
        <x:v>教材8.2例1；教材8.2例2</x:v>
      </x:c>
      <x:c r="O18" s="4" t="str">
        <x:v>教材第50页练习与8.2习题</x:v>
      </x:c>
      <x:c r="P18" s="4" t="str">
        <x:v>立方根求值与规律</x:v>
      </x:c>
      <x:c r="Q18" s="11" t="str">
        <x:v>否</x:v>
      </x:c>
      <x:c r="R18" s="11" t="str">
        <x:v>是</x:v>
      </x:c>
    </x:row>
    <x:row r="19" ht="72" hidden="0" customHeight="1">
      <x:c r="A19" s="10" t="str">
        <x:v>C08-L05</x:v>
      </x:c>
      <x:c r="B19" s="4" t="str">
        <x:v>第8章 实数</x:v>
      </x:c>
      <x:c r="C19" s="4" t="n">
        <x:v>8.3</x:v>
      </x:c>
      <x:c r="D19" s="4" t="str">
        <x:v>无理数与实数</x:v>
      </x:c>
      <x:c r="E19" s="4" t="str">
        <x:v>new_lesson</x:v>
      </x:c>
      <x:c r="F19" s="11" t="str">
        <x:v>52—54</x:v>
      </x:c>
      <x:c r="G19" s="11" t="str">
        <x:v>59—61</x:v>
      </x:c>
      <x:c r="H19" s="11" t="n">
        <x:v>1</x:v>
      </x:c>
      <x:c r="I19" s="11" t="n">
        <x:v>45</x:v>
      </x:c>
      <x:c r="J19" s="4" t="str">
        <x:v>无理数；实数分类；实数与数轴上点的一一对应</x:v>
      </x:c>
      <x:c r="K19" s="4" t="str">
        <x:v>有理数分类；平方根和立方根；数轴</x:v>
      </x:c>
      <x:c r="L19" s="4" t="str">
        <x:v>按定义区分有理数与无理数</x:v>
      </x:c>
      <x:c r="M19" s="4" t="str">
        <x:v>理解无限不循环小数与无理数</x:v>
      </x:c>
      <x:c r="N19" s="4" t="str">
        <x:v>教材第52—54页分类与数轴探究</x:v>
      </x:c>
      <x:c r="O19" s="4" t="str">
        <x:v>教材第54页练习</x:v>
      </x:c>
      <x:c r="P19" s="4" t="str">
        <x:v>实数分类与数轴表示</x:v>
      </x:c>
      <x:c r="Q19" s="11" t="str">
        <x:v>是</x:v>
      </x:c>
      <x:c r="R19" s="11" t="str">
        <x:v>是</x:v>
      </x:c>
    </x:row>
    <x:row r="20" ht="60" hidden="0" customHeight="1">
      <x:c r="A20" s="10" t="str">
        <x:v>C08-L06</x:v>
      </x:c>
      <x:c r="B20" s="4" t="str">
        <x:v>第8章 实数</x:v>
      </x:c>
      <x:c r="C20" s="4" t="n">
        <x:v>8.3</x:v>
      </x:c>
      <x:c r="D20" s="4" t="str">
        <x:v>实数的性质与简单运算</x:v>
      </x:c>
      <x:c r="E20" s="4" t="str">
        <x:v>new_lesson</x:v>
      </x:c>
      <x:c r="F20" s="11" t="str">
        <x:v>55—57</x:v>
      </x:c>
      <x:c r="G20" s="11" t="str">
        <x:v>62—64</x:v>
      </x:c>
      <x:c r="H20" s="11" t="n">
        <x:v>1</x:v>
      </x:c>
      <x:c r="I20" s="11" t="n">
        <x:v>45</x:v>
      </x:c>
      <x:c r="J20" s="4" t="str">
        <x:v>实数的相反数与绝对值；实数大小；实数运算</x:v>
      </x:c>
      <x:c r="K20" s="4" t="str">
        <x:v>有理数性质与运算；算术平方根</x:v>
      </x:c>
      <x:c r="L20" s="4" t="str">
        <x:v>把有理数运算规则迁移到实数</x:v>
      </x:c>
      <x:c r="M20" s="4" t="str">
        <x:v>含根号数的近似运算和结果表示</x:v>
      </x:c>
      <x:c r="N20" s="4" t="str">
        <x:v>教材8.3例1；教材8.3例2；教材8.3例3</x:v>
      </x:c>
      <x:c r="O20" s="4" t="str">
        <x:v>教材第55—57页练习</x:v>
      </x:c>
      <x:c r="P20" s="4" t="str">
        <x:v>实数性质、比较与简单运算</x:v>
      </x:c>
      <x:c r="Q20" s="11" t="str">
        <x:v>否</x:v>
      </x:c>
      <x:c r="R20" s="11" t="str">
        <x:v>是</x:v>
      </x:c>
    </x:row>
    <x:row r="21" ht="72" hidden="0" customHeight="1">
      <x:c r="A21" s="10" t="str">
        <x:v>C08-L07</x:v>
      </x:c>
      <x:c r="B21" s="4" t="str">
        <x:v>第8章 实数</x:v>
      </x:c>
      <x:c r="C21" s="4" t="str">
        <x:v>阅读与思考、数学活动</x:v>
      </x:c>
      <x:c r="D21" s="4" t="str">
        <x:v>根号2的无理性与实数数学活动</x:v>
      </x:c>
      <x:c r="E21" s="4" t="str">
        <x:v>activity_lesson</x:v>
      </x:c>
      <x:c r="F21" s="11" t="str">
        <x:v>58—59</x:v>
      </x:c>
      <x:c r="G21" s="11" t="str">
        <x:v>65—66</x:v>
      </x:c>
      <x:c r="H21" s="11" t="n">
        <x:v>1</x:v>
      </x:c>
      <x:c r="I21" s="11" t="n">
        <x:v>45</x:v>
      </x:c>
      <x:c r="J21" s="4" t="str">
        <x:v>反证思想直观；无理数认识；实数活动探究</x:v>
      </x:c>
      <x:c r="K21" s="4" t="str">
        <x:v>无理数与实数</x:v>
      </x:c>
      <x:c r="L21" s="4" t="str">
        <x:v>读懂根号2不是有理数的论证思路</x:v>
      </x:c>
      <x:c r="M21" s="4" t="str">
        <x:v>在初中阶段理解反证思路而不过度形式化</x:v>
      </x:c>
      <x:c r="N21" s="4" t="str">
        <x:v>阅读与思考“为什么√2不是有理数”；教材第59页数学活动</x:v>
      </x:c>
      <x:c r="O21" s="4" t="str">
        <x:v>阅读记录与活动任务</x:v>
      </x:c>
      <x:c r="P21" s="4" t="str">
        <x:v>活动结论整理</x:v>
      </x:c>
      <x:c r="Q21" s="11" t="str">
        <x:v>否</x:v>
      </x:c>
      <x:c r="R21" s="11" t="str">
        <x:v>是</x:v>
      </x:c>
    </x:row>
    <x:row r="22" ht="60" hidden="0" customHeight="1">
      <x:c r="A22" s="10" t="str">
        <x:v>C08-L08</x:v>
      </x:c>
      <x:c r="B22" s="4" t="str">
        <x:v>第8章 实数</x:v>
      </x:c>
      <x:c r="C22" s="4" t="str">
        <x:v>小结与复习题8</x:v>
      </x:c>
      <x:c r="D22" s="4" t="str">
        <x:v>实数章末复习</x:v>
      </x:c>
      <x:c r="E22" s="4" t="str">
        <x:v>review_lesson</x:v>
      </x:c>
      <x:c r="F22" s="11" t="str">
        <x:v>60—62</x:v>
      </x:c>
      <x:c r="G22" s="11" t="str">
        <x:v>67—69</x:v>
      </x:c>
      <x:c r="H22" s="11" t="n">
        <x:v>1</x:v>
      </x:c>
      <x:c r="I22" s="11" t="n">
        <x:v>45</x:v>
      </x:c>
      <x:c r="J22" s="4" t="str">
        <x:v>平方根；立方根；无理数与实数；实数运算</x:v>
      </x:c>
      <x:c r="K22" s="4" t="str">
        <x:v>第八章全部内容</x:v>
      </x:c>
      <x:c r="L22" s="4" t="str">
        <x:v>构建开方与实数知识网络</x:v>
      </x:c>
      <x:c r="M22" s="4" t="str">
        <x:v>综合运用估算、分类和运算</x:v>
      </x:c>
      <x:c r="N22" s="4" t="str">
        <x:v>教材小结典型问题</x:v>
      </x:c>
      <x:c r="O22" s="4" t="str">
        <x:v>教材复习题8</x:v>
      </x:c>
      <x:c r="P22" s="4" t="str">
        <x:v>复习题8分层选题</x:v>
      </x:c>
      <x:c r="Q22" s="11" t="str">
        <x:v>否</x:v>
      </x:c>
      <x:c r="R22" s="11" t="str">
        <x:v>否</x:v>
      </x:c>
    </x:row>
    <x:row r="23" ht="72" hidden="0" customHeight="1">
      <x:c r="A23" s="10" t="str">
        <x:v>C09-L01</x:v>
      </x:c>
      <x:c r="B23" s="4" t="str">
        <x:v>第9章 平面直角坐标系</x:v>
      </x:c>
      <x:c r="C23" s="4" t="n">
        <x:v>9.1</x:v>
      </x:c>
      <x:c r="D23" s="4" t="str">
        <x:v>平面直角坐标系与点的坐标</x:v>
      </x:c>
      <x:c r="E23" s="4" t="str">
        <x:v>new_lesson</x:v>
      </x:c>
      <x:c r="F23" s="11" t="str">
        <x:v>63—65</x:v>
      </x:c>
      <x:c r="G23" s="11" t="str">
        <x:v>70—72</x:v>
      </x:c>
      <x:c r="H23" s="11" t="n">
        <x:v>1</x:v>
      </x:c>
      <x:c r="I23" s="11" t="n">
        <x:v>45</x:v>
      </x:c>
      <x:c r="J23" s="4" t="str">
        <x:v>平面直角坐标系；坐标轴与原点；象限；有序数对</x:v>
      </x:c>
      <x:c r="K23" s="4" t="str">
        <x:v>数轴；垂直</x:v>
      </x:c>
      <x:c r="L23" s="4" t="str">
        <x:v>由点确定坐标并由坐标描点</x:v>
      </x:c>
      <x:c r="M23" s="4" t="str">
        <x:v>有序数对的顺序和象限符号</x:v>
      </x:c>
      <x:c r="N23" s="4" t="str">
        <x:v>教材9.1例1</x:v>
      </x:c>
      <x:c r="O23" s="4" t="str">
        <x:v>教材第65页练习</x:v>
      </x:c>
      <x:c r="P23" s="4" t="str">
        <x:v>描点、读点与象限判断</x:v>
      </x:c>
      <x:c r="Q23" s="11" t="str">
        <x:v>是</x:v>
      </x:c>
      <x:c r="R23" s="11" t="str">
        <x:v>是</x:v>
      </x:c>
    </x:row>
    <x:row r="24" ht="84" hidden="0" customHeight="1">
      <x:c r="A24" s="10" t="str">
        <x:v>C09-L02</x:v>
      </x:c>
      <x:c r="B24" s="4" t="str">
        <x:v>第9章 平面直角坐标系</x:v>
      </x:c>
      <x:c r="C24" s="4" t="n">
        <x:v>9.1</x:v>
      </x:c>
      <x:c r="D24" s="4" t="str">
        <x:v>用坐标描述图形和位置</x:v>
      </x:c>
      <x:c r="E24" s="4" t="str">
        <x:v>new_lesson</x:v>
      </x:c>
      <x:c r="F24" s="11" t="str">
        <x:v>66—71</x:v>
      </x:c>
      <x:c r="G24" s="11" t="str">
        <x:v>73—78</x:v>
      </x:c>
      <x:c r="H24" s="11" t="n">
        <x:v>1</x:v>
      </x:c>
      <x:c r="I24" s="11" t="n">
        <x:v>45</x:v>
      </x:c>
      <x:c r="J24" s="4" t="str">
        <x:v>用关键点坐标描述图形；建立适当坐标系；经纬度表示位置</x:v>
      </x:c>
      <x:c r="K24" s="4" t="str">
        <x:v>点的坐标；简单平面图形</x:v>
      </x:c>
      <x:c r="L24" s="4" t="str">
        <x:v>选择原点和坐标轴简化坐标</x:v>
      </x:c>
      <x:c r="M24" s="4" t="str">
        <x:v>不同坐标系下坐标的变化</x:v>
      </x:c>
      <x:c r="N24" s="4" t="str">
        <x:v>教材9.1例2；阅读与思考“用经纬度表示地理位置”</x:v>
      </x:c>
      <x:c r="O24" s="4" t="str">
        <x:v>教材第68—70页练习与9.1习题</x:v>
      </x:c>
      <x:c r="P24" s="4" t="str">
        <x:v>建立坐标系描述实际位置</x:v>
      </x:c>
      <x:c r="Q24" s="11" t="str">
        <x:v>是</x:v>
      </x:c>
      <x:c r="R24" s="11" t="str">
        <x:v>是</x:v>
      </x:c>
    </x:row>
    <x:row r="25" ht="48" hidden="0" customHeight="1">
      <x:c r="A25" s="10" t="str">
        <x:v>C09-L03</x:v>
      </x:c>
      <x:c r="B25" s="4" t="str">
        <x:v>第9章 平面直角坐标系</x:v>
      </x:c>
      <x:c r="C25" s="4" t="n">
        <x:v>9.2</x:v>
      </x:c>
      <x:c r="D25" s="4" t="str">
        <x:v>用方向和距离描述位置</x:v>
      </x:c>
      <x:c r="E25" s="4" t="str">
        <x:v>new_lesson</x:v>
      </x:c>
      <x:c r="F25" s="11" t="str">
        <x:v>72—73</x:v>
      </x:c>
      <x:c r="G25" s="11" t="str">
        <x:v>79—80</x:v>
      </x:c>
      <x:c r="H25" s="11" t="n">
        <x:v>1</x:v>
      </x:c>
      <x:c r="I25" s="11" t="n">
        <x:v>45</x:v>
      </x:c>
      <x:c r="J25" s="4" t="str">
        <x:v>位置描述；方位角；方向与距离</x:v>
      </x:c>
      <x:c r="K25" s="4" t="str">
        <x:v>平面直角坐标系；角与线段</x:v>
      </x:c>
      <x:c r="L25" s="4" t="str">
        <x:v>用方向和距离唯一确定位置</x:v>
      </x:c>
      <x:c r="M25" s="4" t="str">
        <x:v>规范表达方位角和实际距离</x:v>
      </x:c>
      <x:c r="N25" s="4" t="str">
        <x:v>教材9.2例1</x:v>
      </x:c>
      <x:c r="O25" s="4" t="str">
        <x:v>教材第73页练习</x:v>
      </x:c>
      <x:c r="P25" s="4" t="str">
        <x:v>实际位置示意图</x:v>
      </x:c>
      <x:c r="Q25" s="11" t="str">
        <x:v>是</x:v>
      </x:c>
      <x:c r="R25" s="11" t="str">
        <x:v>是</x:v>
      </x:c>
    </x:row>
    <x:row r="26" ht="84" hidden="0" customHeight="1">
      <x:c r="A26" s="10" t="str">
        <x:v>C09-L04</x:v>
      </x:c>
      <x:c r="B26" s="4" t="str">
        <x:v>第9章 平面直角坐标系</x:v>
      </x:c>
      <x:c r="C26" s="4" t="n">
        <x:v>9.2</x:v>
      </x:c>
      <x:c r="D26" s="4" t="str">
        <x:v>点的平移与坐标变化</x:v>
      </x:c>
      <x:c r="E26" s="4" t="str">
        <x:v>new_lesson</x:v>
      </x:c>
      <x:c r="F26" s="11" t="str">
        <x:v>74—76</x:v>
      </x:c>
      <x:c r="G26" s="11" t="str">
        <x:v>81—83</x:v>
      </x:c>
      <x:c r="H26" s="11" t="n">
        <x:v>1</x:v>
      </x:c>
      <x:c r="I26" s="11" t="n">
        <x:v>45</x:v>
      </x:c>
      <x:c r="J26" s="4" t="str">
        <x:v>点左右平移横坐标变化；点上下平移纵坐标变化；图形连续平移</x:v>
      </x:c>
      <x:c r="K26" s="4" t="str">
        <x:v>平移；点的坐标</x:v>
      </x:c>
      <x:c r="L26" s="4" t="str">
        <x:v>由平移方向和距离写出新坐标</x:v>
      </x:c>
      <x:c r="M26" s="4" t="str">
        <x:v>符号变化与方向的对应</x:v>
      </x:c>
      <x:c r="N26" s="4" t="str">
        <x:v>教材9.2例2</x:v>
      </x:c>
      <x:c r="O26" s="4" t="str">
        <x:v>教材第76页练习</x:v>
      </x:c>
      <x:c r="P26" s="4" t="str">
        <x:v>点与简单图形的坐标平移</x:v>
      </x:c>
      <x:c r="Q26" s="11" t="str">
        <x:v>是</x:v>
      </x:c>
      <x:c r="R26" s="11" t="str">
        <x:v>是</x:v>
      </x:c>
    </x:row>
    <x:row r="27" ht="72" hidden="0" customHeight="1">
      <x:c r="A27" s="10" t="str">
        <x:v>C09-L05</x:v>
      </x:c>
      <x:c r="B27" s="4" t="str">
        <x:v>第9章 平面直角坐标系</x:v>
      </x:c>
      <x:c r="C27" s="4" t="n">
        <x:v>9.2</x:v>
      </x:c>
      <x:c r="D27" s="4" t="str">
        <x:v>坐标变化与图形平移</x:v>
      </x:c>
      <x:c r="E27" s="4" t="str">
        <x:v>new_lesson</x:v>
      </x:c>
      <x:c r="F27" s="11" t="str">
        <x:v>77—81</x:v>
      </x:c>
      <x:c r="G27" s="11" t="str">
        <x:v>84—88</x:v>
      </x:c>
      <x:c r="H27" s="11" t="n">
        <x:v>1</x:v>
      </x:c>
      <x:c r="I27" s="11" t="n">
        <x:v>45</x:v>
      </x:c>
      <x:c r="J27" s="4" t="str">
        <x:v>整体坐标变化；图形平移方向与距离；坐标方法应用</x:v>
      </x:c>
      <x:c r="K27" s="4" t="str">
        <x:v>点的平移与坐标变化</x:v>
      </x:c>
      <x:c r="L27" s="4" t="str">
        <x:v>由顶点坐标变化判断图形平移</x:v>
      </x:c>
      <x:c r="M27" s="4" t="str">
        <x:v>从多个点的坐标差归纳统一平移</x:v>
      </x:c>
      <x:c r="N27" s="4" t="str">
        <x:v>教材9.2例3</x:v>
      </x:c>
      <x:c r="O27" s="4" t="str">
        <x:v>教材第78页练习与9.2习题</x:v>
      </x:c>
      <x:c r="P27" s="4" t="str">
        <x:v>坐标平移综合题</x:v>
      </x:c>
      <x:c r="Q27" s="11" t="str">
        <x:v>是</x:v>
      </x:c>
      <x:c r="R27" s="11" t="str">
        <x:v>是</x:v>
      </x:c>
    </x:row>
    <x:row r="28" ht="48" hidden="0" customHeight="1">
      <x:c r="A28" s="10" t="str">
        <x:v>C09-L06</x:v>
      </x:c>
      <x:c r="B28" s="4" t="str">
        <x:v>第9章 平面直角坐标系</x:v>
      </x:c>
      <x:c r="C28" s="4" t="str">
        <x:v>数学活动</x:v>
      </x:c>
      <x:c r="D28" s="4" t="str">
        <x:v>平面直角坐标系数学活动</x:v>
      </x:c>
      <x:c r="E28" s="4" t="str">
        <x:v>activity_lesson</x:v>
      </x:c>
      <x:c r="F28" s="11" t="str">
        <x:v>82</x:v>
      </x:c>
      <x:c r="G28" s="11" t="str">
        <x:v>89</x:v>
      </x:c>
      <x:c r="H28" s="11" t="n">
        <x:v>1</x:v>
      </x:c>
      <x:c r="I28" s="11" t="n">
        <x:v>45</x:v>
      </x:c>
      <x:c r="J28" s="4" t="str">
        <x:v>坐标确定位置；坐标变化规律</x:v>
      </x:c>
      <x:c r="K28" s="4" t="str">
        <x:v>第九章新授内容</x:v>
      </x:c>
      <x:c r="L28" s="4" t="str">
        <x:v>用坐标方法完成活动并解释结果</x:v>
      </x:c>
      <x:c r="M28" s="4" t="str">
        <x:v>从操作结果抽象坐标规律</x:v>
      </x:c>
      <x:c r="N28" s="4" t="str">
        <x:v>教材第82页数学活动</x:v>
      </x:c>
      <x:c r="O28" s="4" t="str">
        <x:v>活动记录与展示</x:v>
      </x:c>
      <x:c r="P28" s="4" t="str">
        <x:v>活动报告完善</x:v>
      </x:c>
      <x:c r="Q28" s="11" t="str">
        <x:v>是</x:v>
      </x:c>
      <x:c r="R28" s="11" t="str">
        <x:v>是</x:v>
      </x:c>
    </x:row>
    <x:row r="29" ht="60" hidden="0" customHeight="1">
      <x:c r="A29" s="10" t="str">
        <x:v>C09-L07</x:v>
      </x:c>
      <x:c r="B29" s="4" t="str">
        <x:v>第9章 平面直角坐标系</x:v>
      </x:c>
      <x:c r="C29" s="4" t="str">
        <x:v>小结与复习题9</x:v>
      </x:c>
      <x:c r="D29" s="4" t="str">
        <x:v>平面直角坐标系章末复习</x:v>
      </x:c>
      <x:c r="E29" s="4" t="str">
        <x:v>review_lesson</x:v>
      </x:c>
      <x:c r="F29" s="11" t="str">
        <x:v>83—86</x:v>
      </x:c>
      <x:c r="G29" s="11" t="str">
        <x:v>90—93</x:v>
      </x:c>
      <x:c r="H29" s="11" t="n">
        <x:v>1</x:v>
      </x:c>
      <x:c r="I29" s="11" t="n">
        <x:v>45</x:v>
      </x:c>
      <x:c r="J29" s="4" t="str">
        <x:v>点的坐标；坐标描述位置；坐标与平移</x:v>
      </x:c>
      <x:c r="K29" s="4" t="str">
        <x:v>第九章全部内容</x:v>
      </x:c>
      <x:c r="L29" s="4" t="str">
        <x:v>建立“位置—坐标—变化”知识结构</x:v>
      </x:c>
      <x:c r="M29" s="4" t="str">
        <x:v>选择适当坐标方法解决综合问题</x:v>
      </x:c>
      <x:c r="N29" s="4" t="str">
        <x:v>教材小结典型问题</x:v>
      </x:c>
      <x:c r="O29" s="4" t="str">
        <x:v>教材复习题9</x:v>
      </x:c>
      <x:c r="P29" s="4" t="str">
        <x:v>复习题9分层选题</x:v>
      </x:c>
      <x:c r="Q29" s="11" t="str">
        <x:v>是</x:v>
      </x:c>
      <x:c r="R29" s="11" t="str">
        <x:v>否</x:v>
      </x:c>
    </x:row>
    <x:row r="30" ht="60" hidden="0" customHeight="1">
      <x:c r="A30" s="10" t="str">
        <x:v>C10-L01</x:v>
      </x:c>
      <x:c r="B30" s="4" t="str">
        <x:v>第10章 二元一次方程组</x:v>
      </x:c>
      <x:c r="C30" s="4" t="n">
        <x:v>10.1</x:v>
      </x:c>
      <x:c r="D30" s="4" t="str">
        <x:v>二元一次方程组的概念</x:v>
      </x:c>
      <x:c r="E30" s="4" t="str">
        <x:v>new_lesson</x:v>
      </x:c>
      <x:c r="F30" s="11" t="str">
        <x:v>87—90</x:v>
      </x:c>
      <x:c r="G30" s="11" t="str">
        <x:v>94—97</x:v>
      </x:c>
      <x:c r="H30" s="11" t="n">
        <x:v>1</x:v>
      </x:c>
      <x:c r="I30" s="11" t="n">
        <x:v>45</x:v>
      </x:c>
      <x:c r="J30" s="4" t="str">
        <x:v>二元一次方程；二元一次方程组；方程组的解</x:v>
      </x:c>
      <x:c r="K30" s="4" t="str">
        <x:v>一元一次方程；有序数对</x:v>
      </x:c>
      <x:c r="L30" s="4" t="str">
        <x:v>识别二元一次方程组并检验解</x:v>
      </x:c>
      <x:c r="M30" s="4" t="str">
        <x:v>理解方程组的解必须同时满足两个方程</x:v>
      </x:c>
      <x:c r="N30" s="4" t="str">
        <x:v>教材10.1情境与概念例</x:v>
      </x:c>
      <x:c r="O30" s="4" t="str">
        <x:v>教材第89—90页练习与习题10.1</x:v>
      </x:c>
      <x:c r="P30" s="4" t="str">
        <x:v>概念辨析与解的检验</x:v>
      </x:c>
      <x:c r="Q30" s="11" t="str">
        <x:v>否</x:v>
      </x:c>
      <x:c r="R30" s="11" t="str">
        <x:v>是</x:v>
      </x:c>
    </x:row>
    <x:row r="31" ht="72" hidden="0" customHeight="1">
      <x:c r="A31" s="10" t="str">
        <x:v>C10-L02</x:v>
      </x:c>
      <x:c r="B31" s="4" t="str">
        <x:v>第10章 二元一次方程组</x:v>
      </x:c>
      <x:c r="C31" s="4" t="str">
        <x:v>10.2.1</x:v>
      </x:c>
      <x:c r="D31" s="4" t="str">
        <x:v>代入消元法</x:v>
      </x:c>
      <x:c r="E31" s="4" t="str">
        <x:v>new_lesson</x:v>
      </x:c>
      <x:c r="F31" s="11" t="str">
        <x:v>91—94</x:v>
      </x:c>
      <x:c r="G31" s="11" t="str">
        <x:v>98—101</x:v>
      </x:c>
      <x:c r="H31" s="11" t="n">
        <x:v>1</x:v>
      </x:c>
      <x:c r="I31" s="11" t="n">
        <x:v>45</x:v>
      </x:c>
      <x:c r="J31" s="4" t="str">
        <x:v>消元思想；代入消元法；代入法步骤</x:v>
      </x:c>
      <x:c r="K31" s="4" t="str">
        <x:v>二元一次方程组；等式变形；一元一次方程</x:v>
      </x:c>
      <x:c r="L31" s="4" t="str">
        <x:v>选取易表示的未知数完成代入</x:v>
      </x:c>
      <x:c r="M31" s="4" t="str">
        <x:v>规范变形并防止代入符号错误</x:v>
      </x:c>
      <x:c r="N31" s="4" t="str">
        <x:v>教材10.2例1；教材10.2例2；教材10.2例3；教材10.2例4</x:v>
      </x:c>
      <x:c r="O31" s="4" t="str">
        <x:v>教材第93—94页练习</x:v>
      </x:c>
      <x:c r="P31" s="4" t="str">
        <x:v>代入法解方程组</x:v>
      </x:c>
      <x:c r="Q31" s="11" t="str">
        <x:v>否</x:v>
      </x:c>
      <x:c r="R31" s="11" t="str">
        <x:v>是</x:v>
      </x:c>
    </x:row>
    <x:row r="32" ht="60" hidden="0" customHeight="1">
      <x:c r="A32" s="10" t="str">
        <x:v>C10-L03</x:v>
      </x:c>
      <x:c r="B32" s="4" t="str">
        <x:v>第10章 二元一次方程组</x:v>
      </x:c>
      <x:c r="C32" s="4" t="str">
        <x:v>10.2.2</x:v>
      </x:c>
      <x:c r="D32" s="4" t="str">
        <x:v>加减消元法的基本应用</x:v>
      </x:c>
      <x:c r="E32" s="4" t="str">
        <x:v>new_lesson</x:v>
      </x:c>
      <x:c r="F32" s="11" t="str">
        <x:v>95—96</x:v>
      </x:c>
      <x:c r="G32" s="11" t="str">
        <x:v>102—103</x:v>
      </x:c>
      <x:c r="H32" s="11" t="n">
        <x:v>1</x:v>
      </x:c>
      <x:c r="I32" s="11" t="n">
        <x:v>45</x:v>
      </x:c>
      <x:c r="J32" s="4" t="str">
        <x:v>加减消元法；系数相等或互为相反数时消元</x:v>
      </x:c>
      <x:c r="K32" s="4" t="str">
        <x:v>等式性质；代入消元法</x:v>
      </x:c>
      <x:c r="L32" s="4" t="str">
        <x:v>判断相加还是相减</x:v>
      </x:c>
      <x:c r="M32" s="4" t="str">
        <x:v>整式整体相加减时的符号</x:v>
      </x:c>
      <x:c r="N32" s="4" t="str">
        <x:v>教材10.2例5；教材10.2例6</x:v>
      </x:c>
      <x:c r="O32" s="4" t="str">
        <x:v>教材第96页练习</x:v>
      </x:c>
      <x:c r="P32" s="4" t="str">
        <x:v>直接加减消元</x:v>
      </x:c>
      <x:c r="Q32" s="11" t="str">
        <x:v>否</x:v>
      </x:c>
      <x:c r="R32" s="11" t="str">
        <x:v>是</x:v>
      </x:c>
    </x:row>
    <x:row r="33" ht="72" hidden="0" customHeight="1">
      <x:c r="A33" s="10" t="str">
        <x:v>C10-L04</x:v>
      </x:c>
      <x:c r="B33" s="4" t="str">
        <x:v>第10章 二元一次方程组</x:v>
      </x:c>
      <x:c r="C33" s="4" t="str">
        <x:v>10.2.2</x:v>
      </x:c>
      <x:c r="D33" s="4" t="str">
        <x:v>加减消元法的灵活应用</x:v>
      </x:c>
      <x:c r="E33" s="4" t="str">
        <x:v>new_lesson</x:v>
      </x:c>
      <x:c r="F33" s="11" t="str">
        <x:v>97—100</x:v>
      </x:c>
      <x:c r="G33" s="11" t="str">
        <x:v>104—107</x:v>
      </x:c>
      <x:c r="H33" s="11" t="n">
        <x:v>1</x:v>
      </x:c>
      <x:c r="I33" s="11" t="n">
        <x:v>45</x:v>
      </x:c>
      <x:c r="J33" s="4" t="str">
        <x:v>方程倍乘后消元；消元方法选择；二元一次方程组应用</x:v>
      </x:c>
      <x:c r="K33" s="4" t="str">
        <x:v>加减消元法基本步骤</x:v>
      </x:c>
      <x:c r="L33" s="4" t="str">
        <x:v>构造相等或相反系数</x:v>
      </x:c>
      <x:c r="M33" s="4" t="str">
        <x:v>选择简便消元方案并保证方程整体同乘</x:v>
      </x:c>
      <x:c r="N33" s="4" t="str">
        <x:v>教材10.2例7；教材古代“牛羊问价”问题</x:v>
      </x:c>
      <x:c r="O33" s="4" t="str">
        <x:v>教材第98页练习与习题10.2</x:v>
      </x:c>
      <x:c r="P33" s="4" t="str">
        <x:v>代入法与加减法综合选用</x:v>
      </x:c>
      <x:c r="Q33" s="11" t="str">
        <x:v>否</x:v>
      </x:c>
      <x:c r="R33" s="11" t="str">
        <x:v>是</x:v>
      </x:c>
    </x:row>
    <x:row r="34" ht="60" hidden="0" customHeight="1">
      <x:c r="A34" s="10" t="str">
        <x:v>C10-L05</x:v>
      </x:c>
      <x:c r="B34" s="4" t="str">
        <x:v>第10章 二元一次方程组</x:v>
      </x:c>
      <x:c r="C34" s="4" t="n">
        <x:v>10.3</x:v>
      </x:c>
      <x:c r="D34" s="4" t="str">
        <x:v>实际问题与二元一次方程组（一）</x:v>
      </x:c>
      <x:c r="E34" s="4" t="str">
        <x:v>new_lesson</x:v>
      </x:c>
      <x:c r="F34" s="11" t="str">
        <x:v>101—103</x:v>
      </x:c>
      <x:c r="G34" s="11" t="str">
        <x:v>108—110</x:v>
      </x:c>
      <x:c r="H34" s="11" t="n">
        <x:v>1</x:v>
      </x:c>
      <x:c r="I34" s="11" t="n">
        <x:v>45</x:v>
      </x:c>
      <x:c r="J34" s="4" t="str">
        <x:v>两个未知量的建模；相等关系；检验实际意义</x:v>
      </x:c>
      <x:c r="K34" s="4" t="str">
        <x:v>二元一次方程组解法；列一元一次方程</x:v>
      </x:c>
      <x:c r="L34" s="4" t="str">
        <x:v>从两个数量关系列方程组</x:v>
      </x:c>
      <x:c r="M34" s="4" t="str">
        <x:v>从文字、图形和比例中提取相等关系</x:v>
      </x:c>
      <x:c r="N34" s="4" t="str">
        <x:v>教材10.3探究1；教材10.3探究2</x:v>
      </x:c>
      <x:c r="O34" s="4" t="str">
        <x:v>教材第101—103页练习</x:v>
      </x:c>
      <x:c r="P34" s="4" t="str">
        <x:v>基础实际问题建模</x:v>
      </x:c>
      <x:c r="Q34" s="11" t="str">
        <x:v>是</x:v>
      </x:c>
      <x:c r="R34" s="11" t="str">
        <x:v>是</x:v>
      </x:c>
    </x:row>
    <x:row r="35" ht="60" hidden="0" customHeight="1">
      <x:c r="A35" s="10" t="str">
        <x:v>C10-L06</x:v>
      </x:c>
      <x:c r="B35" s="4" t="str">
        <x:v>第10章 二元一次方程组</x:v>
      </x:c>
      <x:c r="C35" s="4" t="n">
        <x:v>10.3</x:v>
      </x:c>
      <x:c r="D35" s="4" t="str">
        <x:v>实际问题与二元一次方程组（二）</x:v>
      </x:c>
      <x:c r="E35" s="4" t="str">
        <x:v>new_lesson</x:v>
      </x:c>
      <x:c r="F35" s="11" t="str">
        <x:v>104—106</x:v>
      </x:c>
      <x:c r="G35" s="11" t="str">
        <x:v>111—113</x:v>
      </x:c>
      <x:c r="H35" s="11" t="n">
        <x:v>1</x:v>
      </x:c>
      <x:c r="I35" s="11" t="n">
        <x:v>45</x:v>
      </x:c>
      <x:c r="J35" s="4" t="str">
        <x:v>表格建模；费用与产量关系；方程组应用检验</x:v>
      </x:c>
      <x:c r="K35" s="4" t="str">
        <x:v>实际问题与二元一次方程组基础</x:v>
      </x:c>
      <x:c r="L35" s="4" t="str">
        <x:v>借助表格整理复杂数量关系</x:v>
      </x:c>
      <x:c r="M35" s="4" t="str">
        <x:v>单位统一和实际答案解释</x:v>
      </x:c>
      <x:c r="N35" s="4" t="str">
        <x:v>教材10.3探究3</x:v>
      </x:c>
      <x:c r="O35" s="4" t="str">
        <x:v>教材10.3习题</x:v>
      </x:c>
      <x:c r="P35" s="4" t="str">
        <x:v>复杂数量关系与综合应用</x:v>
      </x:c>
      <x:c r="Q35" s="11" t="str">
        <x:v>是</x:v>
      </x:c>
      <x:c r="R35" s="11" t="str">
        <x:v>是</x:v>
      </x:c>
    </x:row>
    <x:row r="36" ht="60" hidden="0" customHeight="1">
      <x:c r="A36" s="10" t="str">
        <x:v>C10-L07</x:v>
      </x:c>
      <x:c r="B36" s="4" t="str">
        <x:v>第10章 二元一次方程组</x:v>
      </x:c>
      <x:c r="C36" s="4" t="n">
        <x:v>10.4</x:v>
      </x:c>
      <x:c r="D36" s="4" t="str">
        <x:v>三元一次方程组的解法</x:v>
      </x:c>
      <x:c r="E36" s="4" t="str">
        <x:v>new_lesson</x:v>
      </x:c>
      <x:c r="F36" s="11" t="str">
        <x:v>107—111</x:v>
      </x:c>
      <x:c r="G36" s="11" t="str">
        <x:v>114—118</x:v>
      </x:c>
      <x:c r="H36" s="11" t="n">
        <x:v>1</x:v>
      </x:c>
      <x:c r="I36" s="11" t="n">
        <x:v>45</x:v>
      </x:c>
      <x:c r="J36" s="4" t="str">
        <x:v>三元一次方程组；逐步消元；选学内容</x:v>
      </x:c>
      <x:c r="K36" s="4" t="str">
        <x:v>二元一次方程组消元法</x:v>
      </x:c>
      <x:c r="L36" s="4" t="str">
        <x:v>把三元方程组转化为二元方程组</x:v>
      </x:c>
      <x:c r="M36" s="4" t="str">
        <x:v>设计合理的逐步消元顺序</x:v>
      </x:c>
      <x:c r="N36" s="4" t="str">
        <x:v>教材10.4例题</x:v>
      </x:c>
      <x:c r="O36" s="4" t="str">
        <x:v>教材10.4练习</x:v>
      </x:c>
      <x:c r="P36" s="4" t="str">
        <x:v>三元一次方程组选学题</x:v>
      </x:c>
      <x:c r="Q36" s="11" t="str">
        <x:v>否</x:v>
      </x:c>
      <x:c r="R36" s="11" t="str">
        <x:v>是</x:v>
      </x:c>
    </x:row>
    <x:row r="37" ht="84" hidden="0" customHeight="1">
      <x:c r="A37" s="10" t="str">
        <x:v>C10-L08</x:v>
      </x:c>
      <x:c r="B37" s="4" t="str">
        <x:v>第10章 二元一次方程组</x:v>
      </x:c>
      <x:c r="C37" s="4" t="str">
        <x:v>图说数学史、阅读与思考</x:v>
      </x:c>
      <x:c r="D37" s="4" t="str">
        <x:v>中国古代的多元一次方程组</x:v>
      </x:c>
      <x:c r="E37" s="4" t="str">
        <x:v>activity_lesson</x:v>
      </x:c>
      <x:c r="F37" s="11" t="str">
        <x:v>112—114</x:v>
      </x:c>
      <x:c r="G37" s="11" t="str">
        <x:v>119—121</x:v>
      </x:c>
      <x:c r="H37" s="11" t="n">
        <x:v>1</x:v>
      </x:c>
      <x:c r="I37" s="11" t="n">
        <x:v>45</x:v>
      </x:c>
      <x:c r="J37" s="4" t="str">
        <x:v>中国古代消元思想；一次不定方程组问题</x:v>
      </x:c>
      <x:c r="K37" s="4" t="str">
        <x:v>二元与三元一次方程组</x:v>
      </x:c>
      <x:c r="L37" s="4" t="str">
        <x:v>用现代语言解释古代算法</x:v>
      </x:c>
      <x:c r="M37" s="4" t="str">
        <x:v>区分确定方程组与不定方程问题</x:v>
      </x:c>
      <x:c r="N37" s="4" t="str">
        <x:v>图说数学史“解多元一次方程组”；阅读与思考“一次不定方程组问题”</x:v>
      </x:c>
      <x:c r="O37" s="4" t="str">
        <x:v>阅读记录与探究问题</x:v>
      </x:c>
      <x:c r="P37" s="4" t="str">
        <x:v>数学史短报告</x:v>
      </x:c>
      <x:c r="Q37" s="11" t="str">
        <x:v>是</x:v>
      </x:c>
      <x:c r="R37" s="11" t="str">
        <x:v>是</x:v>
      </x:c>
    </x:row>
    <x:row r="38" ht="48" hidden="0" customHeight="1">
      <x:c r="A38" s="10" t="str">
        <x:v>C10-L09</x:v>
      </x:c>
      <x:c r="B38" s="4" t="str">
        <x:v>第10章 二元一次方程组</x:v>
      </x:c>
      <x:c r="C38" s="4" t="str">
        <x:v>数学活动</x:v>
      </x:c>
      <x:c r="D38" s="4" t="str">
        <x:v>二元一次方程组数学活动</x:v>
      </x:c>
      <x:c r="E38" s="4" t="str">
        <x:v>activity_lesson</x:v>
      </x:c>
      <x:c r="F38" s="11" t="str">
        <x:v>115—116</x:v>
      </x:c>
      <x:c r="G38" s="11" t="str">
        <x:v>122—123</x:v>
      </x:c>
      <x:c r="H38" s="11" t="n">
        <x:v>1</x:v>
      </x:c>
      <x:c r="I38" s="11" t="n">
        <x:v>45</x:v>
      </x:c>
      <x:c r="J38" s="4" t="str">
        <x:v>方程组建模；数据与关系探究</x:v>
      </x:c>
      <x:c r="K38" s="4" t="str">
        <x:v>第十章新授内容</x:v>
      </x:c>
      <x:c r="L38" s="4" t="str">
        <x:v>合作完成建模、求解和解释</x:v>
      </x:c>
      <x:c r="M38" s="4" t="str">
        <x:v>评价模型是否符合实际</x:v>
      </x:c>
      <x:c r="N38" s="4" t="str">
        <x:v>教材第115—116页数学活动</x:v>
      </x:c>
      <x:c r="O38" s="4" t="str">
        <x:v>活动记录与展示</x:v>
      </x:c>
      <x:c r="P38" s="4" t="str">
        <x:v>活动报告完善</x:v>
      </x:c>
      <x:c r="Q38" s="11" t="str">
        <x:v>是</x:v>
      </x:c>
      <x:c r="R38" s="11" t="str">
        <x:v>是</x:v>
      </x:c>
    </x:row>
    <x:row r="39" ht="72" hidden="0" customHeight="1">
      <x:c r="A39" s="10" t="str">
        <x:v>C10-L10</x:v>
      </x:c>
      <x:c r="B39" s="4" t="str">
        <x:v>第10章 二元一次方程组</x:v>
      </x:c>
      <x:c r="C39" s="4" t="str">
        <x:v>小结与复习题10</x:v>
      </x:c>
      <x:c r="D39" s="4" t="str">
        <x:v>二元一次方程组章末复习</x:v>
      </x:c>
      <x:c r="E39" s="4" t="str">
        <x:v>review_lesson</x:v>
      </x:c>
      <x:c r="F39" s="11" t="str">
        <x:v>117—119</x:v>
      </x:c>
      <x:c r="G39" s="11" t="str">
        <x:v>124—126</x:v>
      </x:c>
      <x:c r="H39" s="11" t="n">
        <x:v>1</x:v>
      </x:c>
      <x:c r="I39" s="11" t="n">
        <x:v>45</x:v>
      </x:c>
      <x:c r="J39" s="4" t="str">
        <x:v>方程组概念；代入与加减消元；实际应用；三元方程组</x:v>
      </x:c>
      <x:c r="K39" s="4" t="str">
        <x:v>第十章全部内容</x:v>
      </x:c>
      <x:c r="L39" s="4" t="str">
        <x:v>构建“建模—消元—求解—检验”流程</x:v>
      </x:c>
      <x:c r="M39" s="4" t="str">
        <x:v>综合选择解法并解释实际结果</x:v>
      </x:c>
      <x:c r="N39" s="4" t="str">
        <x:v>教材小结典型问题</x:v>
      </x:c>
      <x:c r="O39" s="4" t="str">
        <x:v>教材复习题10</x:v>
      </x:c>
      <x:c r="P39" s="4" t="str">
        <x:v>复习题10分层选题</x:v>
      </x:c>
      <x:c r="Q39" s="11" t="str">
        <x:v>否</x:v>
      </x:c>
      <x:c r="R39" s="11" t="str">
        <x:v>否</x:v>
      </x:c>
    </x:row>
    <x:row r="40" ht="60" hidden="0" customHeight="1">
      <x:c r="A40" s="10" t="str">
        <x:v>C11-L01</x:v>
      </x:c>
      <x:c r="B40" s="4" t="str">
        <x:v>第11章 不等式与不等式组</x:v>
      </x:c>
      <x:c r="C40" s="4" t="n">
        <x:v>11.1</x:v>
      </x:c>
      <x:c r="D40" s="4" t="str">
        <x:v>不等式及其解集</x:v>
      </x:c>
      <x:c r="E40" s="4" t="str">
        <x:v>new_lesson</x:v>
      </x:c>
      <x:c r="F40" s="11" t="str">
        <x:v>120—123</x:v>
      </x:c>
      <x:c r="G40" s="11" t="str">
        <x:v>127—130</x:v>
      </x:c>
      <x:c r="H40" s="11" t="n">
        <x:v>1</x:v>
      </x:c>
      <x:c r="I40" s="11" t="n">
        <x:v>45</x:v>
      </x:c>
      <x:c r="J40" s="4" t="str">
        <x:v>不等式；不等式的解；解集；用数轴表示解集</x:v>
      </x:c>
      <x:c r="K40" s="4" t="str">
        <x:v>等式；数轴；大小比较</x:v>
      </x:c>
      <x:c r="L40" s="4" t="str">
        <x:v>区分一个解与解集</x:v>
      </x:c>
      <x:c r="M40" s="4" t="str">
        <x:v>把文字范围、符号和数轴表示互相转换</x:v>
      </x:c>
      <x:c r="N40" s="4" t="str">
        <x:v>教材11.1例1；教材11.1例2</x:v>
      </x:c>
      <x:c r="O40" s="4" t="str">
        <x:v>教材第122—123页练习</x:v>
      </x:c>
      <x:c r="P40" s="4" t="str">
        <x:v>不等式列式、解与解集辨析</x:v>
      </x:c>
      <x:c r="Q40" s="11" t="str">
        <x:v>是</x:v>
      </x:c>
      <x:c r="R40" s="11" t="str">
        <x:v>是</x:v>
      </x:c>
    </x:row>
    <x:row r="41" ht="60" hidden="0" customHeight="1">
      <x:c r="A41" s="10" t="str">
        <x:v>C11-L02</x:v>
      </x:c>
      <x:c r="B41" s="4" t="str">
        <x:v>第11章 不等式与不等式组</x:v>
      </x:c>
      <x:c r="C41" s="4" t="n">
        <x:v>11.1</x:v>
      </x:c>
      <x:c r="D41" s="4" t="str">
        <x:v>不等式的性质</x:v>
      </x:c>
      <x:c r="E41" s="4" t="str">
        <x:v>new_lesson</x:v>
      </x:c>
      <x:c r="F41" s="11" t="str">
        <x:v>124—126</x:v>
      </x:c>
      <x:c r="G41" s="11" t="str">
        <x:v>131—133</x:v>
      </x:c>
      <x:c r="H41" s="11" t="n">
        <x:v>1</x:v>
      </x:c>
      <x:c r="I41" s="11" t="n">
        <x:v>45</x:v>
      </x:c>
      <x:c r="J41" s="4" t="str">
        <x:v>不等式三条性质；利用性质解简单不等式</x:v>
      </x:c>
      <x:c r="K41" s="4" t="str">
        <x:v>等式性质；数的大小</x:v>
      </x:c>
      <x:c r="L41" s="4" t="str">
        <x:v>乘除负数时改变不等号方向</x:v>
      </x:c>
      <x:c r="M41" s="4" t="str">
        <x:v>理解性质3并避免方向错误</x:v>
      </x:c>
      <x:c r="N41" s="4" t="str">
        <x:v>教材11.1例3</x:v>
      </x:c>
      <x:c r="O41" s="4" t="str">
        <x:v>教材第125—126页练习</x:v>
      </x:c>
      <x:c r="P41" s="4" t="str">
        <x:v>不等式性质与简单解集</x:v>
      </x:c>
      <x:c r="Q41" s="11" t="str">
        <x:v>是</x:v>
      </x:c>
      <x:c r="R41" s="11" t="str">
        <x:v>是</x:v>
      </x:c>
    </x:row>
    <x:row r="42" ht="72" hidden="0" customHeight="1">
      <x:c r="A42" s="10" t="str">
        <x:v>C11-L03</x:v>
      </x:c>
      <x:c r="B42" s="4" t="str">
        <x:v>第11章 不等式与不等式组</x:v>
      </x:c>
      <x:c r="C42" s="4" t="n">
        <x:v>11.1</x:v>
      </x:c>
      <x:c r="D42" s="4" t="str">
        <x:v>不等式的应用与比较大小</x:v>
      </x:c>
      <x:c r="E42" s="4" t="str">
        <x:v>new_lesson</x:v>
      </x:c>
      <x:c r="F42" s="11" t="str">
        <x:v>127—130</x:v>
      </x:c>
      <x:c r="G42" s="11" t="str">
        <x:v>134—137</x:v>
      </x:c>
      <x:c r="H42" s="11" t="n">
        <x:v>1</x:v>
      </x:c>
      <x:c r="I42" s="11" t="n">
        <x:v>45</x:v>
      </x:c>
      <x:c r="J42" s="4" t="str">
        <x:v>实际问题中的不等关系；解集范围；求差法比较大小</x:v>
      </x:c>
      <x:c r="K42" s="4" t="str">
        <x:v>不等式性质</x:v>
      </x:c>
      <x:c r="L42" s="4" t="str">
        <x:v>从实际限制列不等式并解释解集</x:v>
      </x:c>
      <x:c r="M42" s="4" t="str">
        <x:v>确定是否包含端点</x:v>
      </x:c>
      <x:c r="N42" s="4" t="str">
        <x:v>教材11.1例4；阅读与思考“用求差法比较大小”</x:v>
      </x:c>
      <x:c r="O42" s="4" t="str">
        <x:v>教材11.1习题</x:v>
      </x:c>
      <x:c r="P42" s="4" t="str">
        <x:v>不等式实际应用与比较</x:v>
      </x:c>
      <x:c r="Q42" s="11" t="str">
        <x:v>是</x:v>
      </x:c>
      <x:c r="R42" s="11" t="str">
        <x:v>是</x:v>
      </x:c>
    </x:row>
    <x:row r="43" ht="60" hidden="0" customHeight="1">
      <x:c r="A43" s="10" t="str">
        <x:v>C11-L04</x:v>
      </x:c>
      <x:c r="B43" s="4" t="str">
        <x:v>第11章 不等式与不等式组</x:v>
      </x:c>
      <x:c r="C43" s="4" t="n">
        <x:v>11.2</x:v>
      </x:c>
      <x:c r="D43" s="4" t="str">
        <x:v>解一元一次不等式</x:v>
      </x:c>
      <x:c r="E43" s="4" t="str">
        <x:v>new_lesson</x:v>
      </x:c>
      <x:c r="F43" s="11" t="str">
        <x:v>131—132</x:v>
      </x:c>
      <x:c r="G43" s="11" t="str">
        <x:v>138—139</x:v>
      </x:c>
      <x:c r="H43" s="11" t="n">
        <x:v>1</x:v>
      </x:c>
      <x:c r="I43" s="11" t="n">
        <x:v>45</x:v>
      </x:c>
      <x:c r="J43" s="4" t="str">
        <x:v>一元一次不等式；解法步骤；数轴表示</x:v>
      </x:c>
      <x:c r="K43" s="4" t="str">
        <x:v>一元一次方程；不等式性质</x:v>
      </x:c>
      <x:c r="L43" s="4" t="str">
        <x:v>按步骤解不等式并表示解集</x:v>
      </x:c>
      <x:c r="M43" s="4" t="str">
        <x:v>去分母、去括号和系数化1中的方向变化</x:v>
      </x:c>
      <x:c r="N43" s="4" t="str">
        <x:v>教材11.2例1</x:v>
      </x:c>
      <x:c r="O43" s="4" t="str">
        <x:v>教材第132页练习</x:v>
      </x:c>
      <x:c r="P43" s="4" t="str">
        <x:v>一元一次不等式计算</x:v>
      </x:c>
      <x:c r="Q43" s="11" t="str">
        <x:v>是</x:v>
      </x:c>
      <x:c r="R43" s="11" t="str">
        <x:v>是</x:v>
      </x:c>
    </x:row>
    <x:row r="44" ht="60" hidden="0" customHeight="1">
      <x:c r="A44" s="10" t="str">
        <x:v>C11-L05</x:v>
      </x:c>
      <x:c r="B44" s="4" t="str">
        <x:v>第11章 不等式与不等式组</x:v>
      </x:c>
      <x:c r="C44" s="4" t="n">
        <x:v>11.2</x:v>
      </x:c>
      <x:c r="D44" s="4" t="str">
        <x:v>一元一次不等式的应用</x:v>
      </x:c>
      <x:c r="E44" s="4" t="str">
        <x:v>new_lesson</x:v>
      </x:c>
      <x:c r="F44" s="11" t="str">
        <x:v>133—137</x:v>
      </x:c>
      <x:c r="G44" s="11" t="str">
        <x:v>140—144</x:v>
      </x:c>
      <x:c r="H44" s="11" t="n">
        <x:v>1</x:v>
      </x:c>
      <x:c r="I44" s="11" t="n">
        <x:v>45</x:v>
      </x:c>
      <x:c r="J44" s="4" t="str">
        <x:v>不等式建模；至少至多问题；方案比较</x:v>
      </x:c>
      <x:c r="K44" s="4" t="str">
        <x:v>解一元一次不等式</x:v>
      </x:c>
      <x:c r="L44" s="4" t="str">
        <x:v>由限制条件建立不等式模型</x:v>
      </x:c>
      <x:c r="M44" s="4" t="str">
        <x:v>结合整数性和实际意义确定答案</x:v>
      </x:c>
      <x:c r="N44" s="4" t="str">
        <x:v>教材11.2例2；教材11.2例3；教材11.2例4</x:v>
      </x:c>
      <x:c r="O44" s="4" t="str">
        <x:v>教材11.2习题</x:v>
      </x:c>
      <x:c r="P44" s="4" t="str">
        <x:v>一元一次不等式应用分层题</x:v>
      </x:c>
      <x:c r="Q44" s="11" t="str">
        <x:v>否</x:v>
      </x:c>
      <x:c r="R44" s="11" t="str">
        <x:v>是</x:v>
      </x:c>
    </x:row>
    <x:row r="45" ht="72" hidden="0" customHeight="1">
      <x:c r="A45" s="10" t="str">
        <x:v>C11-L06</x:v>
      </x:c>
      <x:c r="B45" s="4" t="str">
        <x:v>第11章 不等式与不等式组</x:v>
      </x:c>
      <x:c r="C45" s="4" t="n">
        <x:v>11.3</x:v>
      </x:c>
      <x:c r="D45" s="4" t="str">
        <x:v>一元一次不等式组</x:v>
      </x:c>
      <x:c r="E45" s="4" t="str">
        <x:v>new_lesson</x:v>
      </x:c>
      <x:c r="F45" s="11" t="str">
        <x:v>138—141</x:v>
      </x:c>
      <x:c r="G45" s="11" t="str">
        <x:v>145—148</x:v>
      </x:c>
      <x:c r="H45" s="11" t="n">
        <x:v>1</x:v>
      </x:c>
      <x:c r="I45" s="11" t="n">
        <x:v>45</x:v>
      </x:c>
      <x:c r="J45" s="4" t="str">
        <x:v>一元一次不等式组；公共解集；数轴法；整数解</x:v>
      </x:c>
      <x:c r="K45" s="4" t="str">
        <x:v>一元一次不等式</x:v>
      </x:c>
      <x:c r="L45" s="4" t="str">
        <x:v>分别求解并取解集公共部分</x:v>
      </x:c>
      <x:c r="M45" s="4" t="str">
        <x:v>正确判断无解和端点取舍</x:v>
      </x:c>
      <x:c r="N45" s="4" t="str">
        <x:v>教材11.3例1；教材11.3例2</x:v>
      </x:c>
      <x:c r="O45" s="4" t="str">
        <x:v>教材第140页练习与11.3习题</x:v>
      </x:c>
      <x:c r="P45" s="4" t="str">
        <x:v>不等式组与整数解</x:v>
      </x:c>
      <x:c r="Q45" s="11" t="str">
        <x:v>是</x:v>
      </x:c>
      <x:c r="R45" s="11" t="str">
        <x:v>是</x:v>
      </x:c>
    </x:row>
    <x:row r="46" ht="36" hidden="0" customHeight="1">
      <x:c r="A46" s="10" t="str">
        <x:v>C11-L07</x:v>
      </x:c>
      <x:c r="B46" s="4" t="str">
        <x:v>第11章 不等式与不等式组</x:v>
      </x:c>
      <x:c r="C46" s="4" t="str">
        <x:v>数学活动</x:v>
      </x:c>
      <x:c r="D46" s="4" t="str">
        <x:v>不等式与不等式组数学活动</x:v>
      </x:c>
      <x:c r="E46" s="4" t="str">
        <x:v>activity_lesson</x:v>
      </x:c>
      <x:c r="F46" s="11" t="str">
        <x:v>142</x:v>
      </x:c>
      <x:c r="G46" s="11" t="str">
        <x:v>149</x:v>
      </x:c>
      <x:c r="H46" s="11" t="n">
        <x:v>1</x:v>
      </x:c>
      <x:c r="I46" s="11" t="n">
        <x:v>45</x:v>
      </x:c>
      <x:c r="J46" s="4" t="str">
        <x:v>不等关系探究；解集表示</x:v>
      </x:c>
      <x:c r="K46" s="4" t="str">
        <x:v>第十一章新授内容</x:v>
      </x:c>
      <x:c r="L46" s="4" t="str">
        <x:v>用不等式模型解释活动结果</x:v>
      </x:c>
      <x:c r="M46" s="4" t="str">
        <x:v>从活动条件归纳变量范围</x:v>
      </x:c>
      <x:c r="N46" s="4" t="str">
        <x:v>教材第142页数学活动</x:v>
      </x:c>
      <x:c r="O46" s="4" t="str">
        <x:v>活动记录与展示</x:v>
      </x:c>
      <x:c r="P46" s="4" t="str">
        <x:v>活动报告完善</x:v>
      </x:c>
      <x:c r="Q46" s="11" t="str">
        <x:v>是</x:v>
      </x:c>
      <x:c r="R46" s="11" t="str">
        <x:v>是</x:v>
      </x:c>
    </x:row>
    <x:row r="47" ht="72" hidden="0" customHeight="1">
      <x:c r="A47" s="10" t="str">
        <x:v>C11-L08</x:v>
      </x:c>
      <x:c r="B47" s="4" t="str">
        <x:v>第11章 不等式与不等式组</x:v>
      </x:c>
      <x:c r="C47" s="4" t="str">
        <x:v>小结与复习题11</x:v>
      </x:c>
      <x:c r="D47" s="4" t="str">
        <x:v>不等式与不等式组章末复习</x:v>
      </x:c>
      <x:c r="E47" s="4" t="str">
        <x:v>review_lesson</x:v>
      </x:c>
      <x:c r="F47" s="11" t="str">
        <x:v>143—145</x:v>
      </x:c>
      <x:c r="G47" s="11" t="str">
        <x:v>150—152</x:v>
      </x:c>
      <x:c r="H47" s="11" t="n">
        <x:v>1</x:v>
      </x:c>
      <x:c r="I47" s="11" t="n">
        <x:v>45</x:v>
      </x:c>
      <x:c r="J47" s="4" t="str">
        <x:v>不等式；一元一次不等式；不等式组；实际应用</x:v>
      </x:c>
      <x:c r="K47" s="4" t="str">
        <x:v>第十一章全部内容</x:v>
      </x:c>
      <x:c r="L47" s="4" t="str">
        <x:v>构建“列式—求解—表示—解释”流程</x:v>
      </x:c>
      <x:c r="M47" s="4" t="str">
        <x:v>综合处理端点、整数解和实际限制</x:v>
      </x:c>
      <x:c r="N47" s="4" t="str">
        <x:v>教材小结典型问题</x:v>
      </x:c>
      <x:c r="O47" s="4" t="str">
        <x:v>教材复习题11</x:v>
      </x:c>
      <x:c r="P47" s="4" t="str">
        <x:v>复习题11分层选题</x:v>
      </x:c>
      <x:c r="Q47" s="11" t="str">
        <x:v>是</x:v>
      </x:c>
      <x:c r="R47" s="11" t="str">
        <x:v>否</x:v>
      </x:c>
    </x:row>
    <x:row r="48" ht="72" hidden="0" customHeight="1">
      <x:c r="A48" s="10" t="str">
        <x:v>C11-L09</x:v>
      </x:c>
      <x:c r="B48" s="4" t="str">
        <x:v>第11章 不等式与不等式组</x:v>
      </x:c>
      <x:c r="C48" s="4" t="str">
        <x:v>综合与实践</x:v>
      </x:c>
      <x:c r="D48" s="4" t="str">
        <x:v>低碳生活</x:v>
      </x:c>
      <x:c r="E48" s="4" t="str">
        <x:v>integrated_practice</x:v>
      </x:c>
      <x:c r="F48" s="11" t="str">
        <x:v>146—149</x:v>
      </x:c>
      <x:c r="G48" s="11" t="str">
        <x:v>153—156</x:v>
      </x:c>
      <x:c r="H48" s="11" t="n">
        <x:v>1</x:v>
      </x:c>
      <x:c r="I48" s="11" t="n">
        <x:v>45</x:v>
      </x:c>
      <x:c r="J48" s="4" t="str">
        <x:v>数据收集；碳足迹计算；不等式决策；合作研究</x:v>
      </x:c>
      <x:c r="K48" s="4" t="str">
        <x:v>不等式与不等式组；百分数与统计表</x:v>
      </x:c>
      <x:c r="L48" s="4" t="str">
        <x:v>把低碳目标转化为可计算方案</x:v>
      </x:c>
      <x:c r="M48" s="4" t="str">
        <x:v>数据来源、单位统一和方案评价</x:v>
      </x:c>
      <x:c r="N48" s="4" t="str">
        <x:v>综合与实践“低碳生活”</x:v>
      </x:c>
      <x:c r="O48" s="4" t="str">
        <x:v>团队任务、成果展示与多元评价</x:v>
      </x:c>
      <x:c r="P48" s="4" t="str">
        <x:v>个人低碳行动方案</x:v>
      </x:c>
      <x:c r="Q48" s="11" t="str">
        <x:v>是</x:v>
      </x:c>
      <x:c r="R48" s="11" t="str">
        <x:v>是</x:v>
      </x:c>
    </x:row>
    <x:row r="49" ht="96" hidden="0" customHeight="1">
      <x:c r="A49" s="10" t="str">
        <x:v>C12-L01</x:v>
      </x:c>
      <x:c r="B49" s="4" t="str">
        <x:v>第12章 数据的收集、整理与描述</x:v>
      </x:c>
      <x:c r="C49" s="4" t="n">
        <x:v>12.1</x:v>
      </x:c>
      <x:c r="D49" s="4" t="str">
        <x:v>全面调查与数据整理</x:v>
      </x:c>
      <x:c r="E49" s="4" t="str">
        <x:v>new_lesson</x:v>
      </x:c>
      <x:c r="F49" s="11" t="str">
        <x:v>150—153</x:v>
      </x:c>
      <x:c r="G49" s="11" t="str">
        <x:v>157—160</x:v>
      </x:c>
      <x:c r="H49" s="11" t="n">
        <x:v>1</x:v>
      </x:c>
      <x:c r="I49" s="11" t="n">
        <x:v>45</x:v>
      </x:c>
      <x:c r="J49" s="4" t="str">
        <x:v>统计调查步骤；全面调查；划记法；频数与百分比；条形图和扇形图</x:v>
      </x:c>
      <x:c r="K49" s="4" t="str">
        <x:v>百分数；简单统计表和统计图</x:v>
      </x:c>
      <x:c r="L49" s="4" t="str">
        <x:v>经历收集、整理、描述和分析数据全过程</x:v>
      </x:c>
      <x:c r="M49" s="4" t="str">
        <x:v>根据调查目的设计合理问题和表格</x:v>
      </x:c>
      <x:c r="N49" s="4" t="str">
        <x:v>教材12.1课外活动调查</x:v>
      </x:c>
      <x:c r="O49" s="4" t="str">
        <x:v>教材第153页练习</x:v>
      </x:c>
      <x:c r="P49" s="4" t="str">
        <x:v>小型全面调查</x:v>
      </x:c>
      <x:c r="Q49" s="11" t="str">
        <x:v>是</x:v>
      </x:c>
      <x:c r="R49" s="11" t="str">
        <x:v>是</x:v>
      </x:c>
    </x:row>
    <x:row r="50" ht="60" hidden="0" customHeight="1">
      <x:c r="A50" s="10" t="str">
        <x:v>C12-L02</x:v>
      </x:c>
      <x:c r="B50" s="4" t="str">
        <x:v>第12章 数据的收集、整理与描述</x:v>
      </x:c>
      <x:c r="C50" s="4" t="n">
        <x:v>12.1</x:v>
      </x:c>
      <x:c r="D50" s="4" t="str">
        <x:v>抽样调查</x:v>
      </x:c>
      <x:c r="E50" s="4" t="str">
        <x:v>new_lesson</x:v>
      </x:c>
      <x:c r="F50" s="11" t="str">
        <x:v>154—155</x:v>
      </x:c>
      <x:c r="G50" s="11" t="str">
        <x:v>161—162</x:v>
      </x:c>
      <x:c r="H50" s="11" t="n">
        <x:v>1</x:v>
      </x:c>
      <x:c r="I50" s="11" t="n">
        <x:v>45</x:v>
      </x:c>
      <x:c r="J50" s="4" t="str">
        <x:v>总体；个体；样本；样本容量；简单随机抽样</x:v>
      </x:c>
      <x:c r="K50" s="4" t="str">
        <x:v>全面调查；百分比</x:v>
      </x:c>
      <x:c r="L50" s="4" t="str">
        <x:v>判断调查方式并识别总体和样本</x:v>
      </x:c>
      <x:c r="M50" s="4" t="str">
        <x:v>理解样本代表性和随机性</x:v>
      </x:c>
      <x:c r="N50" s="4" t="str">
        <x:v>教材育人中学抽样调查</x:v>
      </x:c>
      <x:c r="O50" s="4" t="str">
        <x:v>教材第155页练习</x:v>
      </x:c>
      <x:c r="P50" s="4" t="str">
        <x:v>抽样概念与调查方式辨析</x:v>
      </x:c>
      <x:c r="Q50" s="11" t="str">
        <x:v>是</x:v>
      </x:c>
      <x:c r="R50" s="11" t="str">
        <x:v>是</x:v>
      </x:c>
    </x:row>
    <x:row r="51" ht="60" hidden="0" customHeight="1">
      <x:c r="A51" s="10" t="str">
        <x:v>C12-L03</x:v>
      </x:c>
      <x:c r="B51" s="4" t="str">
        <x:v>第12章 数据的收集、整理与描述</x:v>
      </x:c>
      <x:c r="C51" s="4" t="str">
        <x:v>12.1-探究与发现</x:v>
      </x:c>
      <x:c r="D51" s="4" t="str">
        <x:v>统计调查的选择与实践</x:v>
      </x:c>
      <x:c r="E51" s="4" t="str">
        <x:v>activity_lesson</x:v>
      </x:c>
      <x:c r="F51" s="11" t="str">
        <x:v>156—159</x:v>
      </x:c>
      <x:c r="G51" s="11" t="str">
        <x:v>163—166</x:v>
      </x:c>
      <x:c r="H51" s="11" t="n">
        <x:v>1</x:v>
      </x:c>
      <x:c r="I51" s="11" t="n">
        <x:v>45</x:v>
      </x:c>
      <x:c r="J51" s="4" t="str">
        <x:v>调查方式选择；样本代表性；用样本估计总体</x:v>
      </x:c>
      <x:c r="K51" s="4" t="str">
        <x:v>全面调查与抽样调查</x:v>
      </x:c>
      <x:c r="L51" s="4" t="str">
        <x:v>根据对象、成本和精度选择调查方式</x:v>
      </x:c>
      <x:c r="M51" s="4" t="str">
        <x:v>评价抽样方案是否合理</x:v>
      </x:c>
      <x:c r="N51" s="4" t="str">
        <x:v>探究与发现“瓶子中有多少粒豆子”</x:v>
      </x:c>
      <x:c r="O51" s="4" t="str">
        <x:v>教材12.1习题与豆子实验</x:v>
      </x:c>
      <x:c r="P51" s="4" t="str">
        <x:v>调查方案设计与反思</x:v>
      </x:c>
      <x:c r="Q51" s="11" t="str">
        <x:v>是</x:v>
      </x:c>
      <x:c r="R51" s="11" t="str">
        <x:v>是</x:v>
      </x:c>
    </x:row>
    <x:row r="52" ht="60" hidden="0" customHeight="1">
      <x:c r="A52" s="10" t="str">
        <x:v>C12-L04</x:v>
      </x:c>
      <x:c r="B52" s="4" t="str">
        <x:v>第12章 数据的收集、整理与描述</x:v>
      </x:c>
      <x:c r="C52" s="4" t="n">
        <x:v>12.2</x:v>
      </x:c>
      <x:c r="D52" s="4" t="str">
        <x:v>条形图与扇形图</x:v>
      </x:c>
      <x:c r="E52" s="4" t="str">
        <x:v>new_lesson</x:v>
      </x:c>
      <x:c r="F52" s="11" t="str">
        <x:v>160—162</x:v>
      </x:c>
      <x:c r="G52" s="11" t="str">
        <x:v>167—169</x:v>
      </x:c>
      <x:c r="H52" s="11" t="n">
        <x:v>1</x:v>
      </x:c>
      <x:c r="I52" s="11" t="n">
        <x:v>45</x:v>
      </x:c>
      <x:c r="J52" s="4" t="str">
        <x:v>条形图；扇形图；圆心角计算；统计图选择</x:v>
      </x:c>
      <x:c r="K52" s="4" t="str">
        <x:v>频数与百分比；圆周角度</x:v>
      </x:c>
      <x:c r="L52" s="4" t="str">
        <x:v>根据数据特点选择并绘制统计图</x:v>
      </x:c>
      <x:c r="M52" s="4" t="str">
        <x:v>把百分比准确转化为圆心角</x:v>
      </x:c>
      <x:c r="N52" s="4" t="str">
        <x:v>教材12.2例1</x:v>
      </x:c>
      <x:c r="O52" s="4" t="str">
        <x:v>教材第162页练习</x:v>
      </x:c>
      <x:c r="P52" s="4" t="str">
        <x:v>条形图与扇形图绘制</x:v>
      </x:c>
      <x:c r="Q52" s="11" t="str">
        <x:v>是</x:v>
      </x:c>
      <x:c r="R52" s="11" t="str">
        <x:v>是</x:v>
      </x:c>
    </x:row>
    <x:row r="53" ht="60" hidden="0" customHeight="1">
      <x:c r="A53" s="10" t="str">
        <x:v>C12-L05</x:v>
      </x:c>
      <x:c r="B53" s="4" t="str">
        <x:v>第12章 数据的收集、整理与描述</x:v>
      </x:c>
      <x:c r="C53" s="4" t="n">
        <x:v>12.2</x:v>
      </x:c>
      <x:c r="D53" s="4" t="str">
        <x:v>复合条形图与复合折线图</x:v>
      </x:c>
      <x:c r="E53" s="4" t="str">
        <x:v>new_lesson</x:v>
      </x:c>
      <x:c r="F53" s="11" t="str">
        <x:v>163—164</x:v>
      </x:c>
      <x:c r="G53" s="11" t="str">
        <x:v>170—171</x:v>
      </x:c>
      <x:c r="H53" s="11" t="n">
        <x:v>1</x:v>
      </x:c>
      <x:c r="I53" s="11" t="n">
        <x:v>45</x:v>
      </x:c>
      <x:c r="J53" s="4" t="str">
        <x:v>复合条形图；复合折线图；多组数据比较</x:v>
      </x:c>
      <x:c r="K53" s="4" t="str">
        <x:v>条形图；折线图</x:v>
      </x:c>
      <x:c r="L53" s="4" t="str">
        <x:v>用同一图表比较两组数据</x:v>
      </x:c>
      <x:c r="M53" s="4" t="str">
        <x:v>读图时区分图例、单位和变化趋势</x:v>
      </x:c>
      <x:c r="N53" s="4" t="str">
        <x:v>教材12.2例2</x:v>
      </x:c>
      <x:c r="O53" s="4" t="str">
        <x:v>教材第164页练习</x:v>
      </x:c>
      <x:c r="P53" s="4" t="str">
        <x:v>复合统计图读图与绘图</x:v>
      </x:c>
      <x:c r="Q53" s="11" t="str">
        <x:v>是</x:v>
      </x:c>
      <x:c r="R53" s="11" t="str">
        <x:v>是</x:v>
      </x:c>
    </x:row>
    <x:row r="54" ht="72" hidden="0" customHeight="1">
      <x:c r="A54" s="10" t="str">
        <x:v>C12-L06</x:v>
      </x:c>
      <x:c r="B54" s="4" t="str">
        <x:v>第12章 数据的收集、整理与描述</x:v>
      </x:c>
      <x:c r="C54" s="4" t="n">
        <x:v>12.2</x:v>
      </x:c>
      <x:c r="D54" s="4" t="str">
        <x:v>频数分布表与直方图</x:v>
      </x:c>
      <x:c r="E54" s="4" t="str">
        <x:v>new_lesson</x:v>
      </x:c>
      <x:c r="F54" s="11" t="str">
        <x:v>165—167</x:v>
      </x:c>
      <x:c r="G54" s="11" t="str">
        <x:v>172—174</x:v>
      </x:c>
      <x:c r="H54" s="11" t="n">
        <x:v>1</x:v>
      </x:c>
      <x:c r="I54" s="11" t="n">
        <x:v>45</x:v>
      </x:c>
      <x:c r="J54" s="4" t="str">
        <x:v>极差；组距与组数；频数分布表；频数分布直方图</x:v>
      </x:c>
      <x:c r="K54" s="4" t="str">
        <x:v>数据整理；条形图</x:v>
      </x:c>
      <x:c r="L54" s="4" t="str">
        <x:v>按步骤整理分组数据并绘制直方图</x:v>
      </x:c>
      <x:c r="M54" s="4" t="str">
        <x:v>分组边界与左闭右开区间</x:v>
      </x:c>
      <x:c r="N54" s="4" t="str">
        <x:v>教材仪仗队身高数据</x:v>
      </x:c>
      <x:c r="O54" s="4" t="str">
        <x:v>教材第167页练习</x:v>
      </x:c>
      <x:c r="P54" s="4" t="str">
        <x:v>频数分布表与直方图</x:v>
      </x:c>
      <x:c r="Q54" s="11" t="str">
        <x:v>是</x:v>
      </x:c>
      <x:c r="R54" s="11" t="str">
        <x:v>是</x:v>
      </x:c>
    </x:row>
    <x:row r="55" ht="72" hidden="0" customHeight="1">
      <x:c r="A55" s="10" t="str">
        <x:v>C12-L07</x:v>
      </x:c>
      <x:c r="B55" s="4" t="str">
        <x:v>第12章 数据的收集、整理与描述</x:v>
      </x:c>
      <x:c r="C55" s="4" t="n">
        <x:v>12.2</x:v>
      </x:c>
      <x:c r="D55" s="4" t="str">
        <x:v>直方图的应用与解释</x:v>
      </x:c>
      <x:c r="E55" s="4" t="str">
        <x:v>new_lesson</x:v>
      </x:c>
      <x:c r="F55" s="11" t="str">
        <x:v>168—170</x:v>
      </x:c>
      <x:c r="G55" s="11" t="str">
        <x:v>175—177</x:v>
      </x:c>
      <x:c r="H55" s="11" t="n">
        <x:v>1</x:v>
      </x:c>
      <x:c r="I55" s="11" t="n">
        <x:v>45</x:v>
      </x:c>
      <x:c r="J55" s="4" t="str">
        <x:v>分组数据整理；直方图解释；用样本估计总体分布</x:v>
      </x:c>
      <x:c r="K55" s="4" t="str">
        <x:v>频数分布表与直方图</x:v>
      </x:c>
      <x:c r="L55" s="4" t="str">
        <x:v>从直方图描述数据集中范围</x:v>
      </x:c>
      <x:c r="M55" s="4" t="str">
        <x:v>由样本分布作合理而有限的推断</x:v>
      </x:c>
      <x:c r="N55" s="4" t="str">
        <x:v>教材12.2例3</x:v>
      </x:c>
      <x:c r="O55" s="4" t="str">
        <x:v>教材第169—170页练习</x:v>
      </x:c>
      <x:c r="P55" s="4" t="str">
        <x:v>直方图综合应用</x:v>
      </x:c>
      <x:c r="Q55" s="11" t="str">
        <x:v>是</x:v>
      </x:c>
      <x:c r="R55" s="11" t="str">
        <x:v>是</x:v>
      </x:c>
    </x:row>
    <x:row r="56" ht="60" hidden="0" customHeight="1">
      <x:c r="A56" s="10" t="str">
        <x:v>C12-L08</x:v>
      </x:c>
      <x:c r="B56" s="4" t="str">
        <x:v>第12章 数据的收集、整理与描述</x:v>
      </x:c>
      <x:c r="C56" s="4" t="n">
        <x:v>12.2</x:v>
      </x:c>
      <x:c r="D56" s="4" t="str">
        <x:v>用趋势图描述两个量的关系</x:v>
      </x:c>
      <x:c r="E56" s="4" t="str">
        <x:v>new_lesson</x:v>
      </x:c>
      <x:c r="F56" s="11" t="str">
        <x:v>171—174</x:v>
      </x:c>
      <x:c r="G56" s="11" t="str">
        <x:v>178—181</x:v>
      </x:c>
      <x:c r="H56" s="11" t="n">
        <x:v>1</x:v>
      </x:c>
      <x:c r="I56" s="11" t="n">
        <x:v>45</x:v>
      </x:c>
      <x:c r="J56" s="4" t="str">
        <x:v>散点直观；趋势图；两个量的变化关系；预测</x:v>
      </x:c>
      <x:c r="K56" s="4" t="str">
        <x:v>坐标系；折线图；数据描述</x:v>
      </x:c>
      <x:c r="L56" s="4" t="str">
        <x:v>从散点分布判断总体趋势</x:v>
      </x:c>
      <x:c r="M56" s="4" t="str">
        <x:v>理解趋势表示近似关系而非精确函数</x:v>
      </x:c>
      <x:c r="N56" s="4" t="str">
        <x:v>教材冷饮销量与最高气温问题</x:v>
      </x:c>
      <x:c r="O56" s="4" t="str">
        <x:v>教材第174页练习</x:v>
      </x:c>
      <x:c r="P56" s="4" t="str">
        <x:v>趋势读图、描述与预测</x:v>
      </x:c>
      <x:c r="Q56" s="11" t="str">
        <x:v>是</x:v>
      </x:c>
      <x:c r="R56" s="11" t="str">
        <x:v>是</x:v>
      </x:c>
    </x:row>
    <x:row r="57" ht="60" hidden="0" customHeight="1">
      <x:c r="A57" s="10" t="str">
        <x:v>C12-L09</x:v>
      </x:c>
      <x:c r="B57" s="4" t="str">
        <x:v>第12章 数据的收集、整理与描述</x:v>
      </x:c>
      <x:c r="C57" s="4" t="n">
        <x:v>12.2</x:v>
      </x:c>
      <x:c r="D57" s="4" t="str">
        <x:v>统计图的选择与综合应用</x:v>
      </x:c>
      <x:c r="E57" s="4" t="str">
        <x:v>practice_lesson</x:v>
      </x:c>
      <x:c r="F57" s="11" t="str">
        <x:v>175—177</x:v>
      </x:c>
      <x:c r="G57" s="11" t="str">
        <x:v>182—184</x:v>
      </x:c>
      <x:c r="H57" s="11" t="n">
        <x:v>1</x:v>
      </x:c>
      <x:c r="I57" s="11" t="n">
        <x:v>45</x:v>
      </x:c>
      <x:c r="J57" s="4" t="str">
        <x:v>统计图选择；数据比较；分组数据；趋势解释</x:v>
      </x:c>
      <x:c r="K57" s="4" t="str">
        <x:v>12.2各种统计图</x:v>
      </x:c>
      <x:c r="L57" s="4" t="str">
        <x:v>根据问题目的选择合适图表</x:v>
      </x:c>
      <x:c r="M57" s="4" t="str">
        <x:v>综合判断图表是否准确表达数据</x:v>
      </x:c>
      <x:c r="N57" s="4" t="str">
        <x:v>教材12.2习题典型题</x:v>
      </x:c>
      <x:c r="O57" s="4" t="str">
        <x:v>教材12.2习题</x:v>
      </x:c>
      <x:c r="P57" s="4" t="str">
        <x:v>12.2习题分层选题</x:v>
      </x:c>
      <x:c r="Q57" s="11" t="str">
        <x:v>是</x:v>
      </x:c>
      <x:c r="R57" s="11" t="str">
        <x:v>否</x:v>
      </x:c>
    </x:row>
    <x:row r="58" ht="120" hidden="0" customHeight="1">
      <x:c r="A58" s="10" t="str">
        <x:v>C12-L10</x:v>
      </x:c>
      <x:c r="B58" s="4" t="str">
        <x:v>第12章 数据的收集、整理与描述</x:v>
      </x:c>
      <x:c r="C58" s="4" t="str">
        <x:v>信息技术应用、图说数学史、数学活动</x:v>
      </x:c>
      <x:c r="D58" s="4" t="str">
        <x:v>统计图的信息技术应用与数学活动</x:v>
      </x:c>
      <x:c r="E58" s="4" t="str">
        <x:v>activity_lesson</x:v>
      </x:c>
      <x:c r="F58" s="11" t="str">
        <x:v>178—182</x:v>
      </x:c>
      <x:c r="G58" s="11" t="str">
        <x:v>185—189</x:v>
      </x:c>
      <x:c r="H58" s="11" t="n">
        <x:v>1</x:v>
      </x:c>
      <x:c r="I58" s="11" t="n">
        <x:v>45</x:v>
      </x:c>
      <x:c r="J58" s="4" t="str">
        <x:v>用信息技术画统计图；统计学发展；统计活动</x:v>
      </x:c>
      <x:c r="K58" s="4" t="str">
        <x:v>条形图、扇形图、折线图和直方图</x:v>
      </x:c>
      <x:c r="L58" s="4" t="str">
        <x:v>选择工具准确录入数据并核对图表</x:v>
      </x:c>
      <x:c r="M58" s="4" t="str">
        <x:v>判断工具输出与原始数据是否一致</x:v>
      </x:c>
      <x:c r="N58" s="4" t="str">
        <x:v>信息技术应用“利用信息技术工具画统计图”；图说数学史“统计学点滴”；教材第182页数学活动</x:v>
      </x:c>
      <x:c r="O58" s="4" t="str">
        <x:v>上机任务、阅读记录与活动展示</x:v>
      </x:c>
      <x:c r="P58" s="4" t="str">
        <x:v>统计图电子作品与说明</x:v>
      </x:c>
      <x:c r="Q58" s="11" t="str">
        <x:v>是</x:v>
      </x:c>
      <x:c r="R58" s="11" t="str">
        <x:v>是</x:v>
      </x:c>
    </x:row>
    <x:row r="59" ht="72" hidden="0" customHeight="1">
      <x:c r="A59" s="10" t="str">
        <x:v>C12-L11</x:v>
      </x:c>
      <x:c r="B59" s="4" t="str">
        <x:v>第12章 数据的收集、整理与描述</x:v>
      </x:c>
      <x:c r="C59" s="4" t="str">
        <x:v>小结与复习题12</x:v>
      </x:c>
      <x:c r="D59" s="4" t="str">
        <x:v>数据的收集、整理与描述章末复习</x:v>
      </x:c>
      <x:c r="E59" s="4" t="str">
        <x:v>review_lesson</x:v>
      </x:c>
      <x:c r="F59" s="11" t="str">
        <x:v>183—187</x:v>
      </x:c>
      <x:c r="G59" s="11" t="str">
        <x:v>190—194</x:v>
      </x:c>
      <x:c r="H59" s="11" t="n">
        <x:v>1</x:v>
      </x:c>
      <x:c r="I59" s="11" t="n">
        <x:v>45</x:v>
      </x:c>
      <x:c r="J59" s="4" t="str">
        <x:v>统计调查；抽样；统计表与统计图；直方图；趋势图</x:v>
      </x:c>
      <x:c r="K59" s="4" t="str">
        <x:v>第十二章全部内容</x:v>
      </x:c>
      <x:c r="L59" s="4" t="str">
        <x:v>构建“收集—整理—描述—分析”统计流程</x:v>
      </x:c>
      <x:c r="M59" s="4" t="str">
        <x:v>针对实际目的选择方法并作合理推断</x:v>
      </x:c>
      <x:c r="N59" s="4" t="str">
        <x:v>教材小结典型问题</x:v>
      </x:c>
      <x:c r="O59" s="4" t="str">
        <x:v>教材复习题12</x:v>
      </x:c>
      <x:c r="P59" s="4" t="str">
        <x:v>复习题12分层选题</x:v>
      </x:c>
      <x:c r="Q59" s="11" t="str">
        <x:v>是</x:v>
      </x:c>
      <x:c r="R59" s="11" t="str">
        <x:v>否</x:v>
      </x:c>
    </x:row>
    <x:row r="60" ht="72" hidden="0" customHeight="1">
      <x:c r="A60" s="10" t="str">
        <x:v>C12-L12</x:v>
      </x:c>
      <x:c r="B60" s="4" t="str">
        <x:v>第12章 数据的收集、整理与描述</x:v>
      </x:c>
      <x:c r="C60" s="4" t="str">
        <x:v>综合与实践</x:v>
      </x:c>
      <x:c r="D60" s="4" t="str">
        <x:v>白昼时长规律的探究</x:v>
      </x:c>
      <x:c r="E60" s="4" t="str">
        <x:v>integrated_practice</x:v>
      </x:c>
      <x:c r="F60" s="11" t="str">
        <x:v>188—192</x:v>
      </x:c>
      <x:c r="G60" s="11" t="str">
        <x:v>195—199</x:v>
      </x:c>
      <x:c r="H60" s="11" t="n">
        <x:v>1</x:v>
      </x:c>
      <x:c r="I60" s="11" t="n">
        <x:v>45</x:v>
      </x:c>
      <x:c r="J60" s="4" t="str">
        <x:v>数据收集；统计图；趋势描述；周期规律；合作研究</x:v>
      </x:c>
      <x:c r="K60" s="4" t="str">
        <x:v>第十二章统计方法；平面直角坐标系</x:v>
      </x:c>
      <x:c r="L60" s="4" t="str">
        <x:v>用数据和图表描述白昼时长变化规律</x:v>
      </x:c>
      <x:c r="M60" s="4" t="str">
        <x:v>控制变量、解释地区差异并评价结论</x:v>
      </x:c>
      <x:c r="N60" s="4" t="str">
        <x:v>综合与实践“白昼时长规律的探究”</x:v>
      </x:c>
      <x:c r="O60" s="4" t="str">
        <x:v>团队方案、数据图表、成果展示与评价</x:v>
      </x:c>
      <x:c r="P60" s="4" t="str">
        <x:v>完善探究报告</x:v>
      </x:c>
      <x:c r="Q60" s="11" t="str">
        <x:v>是</x:v>
      </x:c>
      <x:c r="R60" s="11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26d02cb1e71a45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58" hidden="0" customWidth="1"/>
    <x:col min="5" max="5" width="14" hidden="0" customWidth="1"/>
    <x:col min="6" max="6" width="22" hidden="0" customWidth="1"/>
    <x:col min="7" max="7" width="18" hidden="0" customWidth="1"/>
    <x:col min="8" max="8" width="28" hidden="0" customWidth="1"/>
    <x:col min="9" max="9" width="14" hidden="0" customWidth="1"/>
    <x:col min="10" max="10" width="46" hidden="0" customWidth="1"/>
  </x:cols>
  <x:sheetData>
    <x:row r="1" ht="38" customHeight="1">
      <x:c r="A1" s="9" t="str">
        <x:v>教材印刷页</x:v>
      </x:c>
      <x:c r="B1" s="9" t="str">
        <x:v>PDF物理页</x:v>
      </x:c>
      <x:c r="C1" s="9" t="str">
        <x:v>内容类型</x:v>
      </x:c>
      <x:c r="D1" s="9" t="str">
        <x:v>教材内容/标记</x:v>
      </x:c>
      <x:c r="E1" s="9" t="str">
        <x:v>课时编号</x:v>
      </x:c>
      <x:c r="F1" s="9" t="str">
        <x:v>章</x:v>
      </x:c>
      <x:c r="G1" s="9" t="str">
        <x:v>节/小节</x:v>
      </x:c>
      <x:c r="H1" s="9" t="str">
        <x:v>课题名称</x:v>
      </x:c>
      <x:c r="I1" s="9" t="str">
        <x:v>安排状态</x:v>
      </x:c>
      <x:c r="J1" s="9" t="str">
        <x:v>复核说明</x:v>
      </x:c>
    </x:row>
    <x:row r="2" ht="34" customHeight="1">
      <x:c r="A2" s="11" t="n">
        <x:v>1</x:v>
      </x:c>
      <x:c r="B2" s="11" t="n">
        <x:v>8</x:v>
      </x:c>
      <x:c r="C2" s="4" t="str">
        <x:v>正文/题目</x:v>
      </x:c>
      <x:c r="D2" s="4" t="str">
        <x:v>本页全部正文、图表与题目</x:v>
      </x:c>
      <x:c r="E2" s="10" t="str">
        <x:v>C07-L01</x:v>
      </x:c>
      <x:c r="F2" s="4" t="str">
        <x:v>相交线与平行线</x:v>
      </x:c>
      <x:c r="G2" s="4" t="str">
        <x:v>7.1.1</x:v>
      </x:c>
      <x:c r="H2" s="4" t="str">
        <x:v>相交线与对顶角</x:v>
      </x:c>
      <x:c r="I2" s="14" t="str">
        <x:v>已安排</x:v>
      </x:c>
      <x:c r="J2" s="4" t="str">
        <x:v>以当前教材PDF为准；后续逐课引用时复核题号、图号与数据</x:v>
      </x:c>
    </x:row>
    <x:row r="3" ht="34" customHeight="1">
      <x:c r="A3" s="11" t="n">
        <x:v>2</x:v>
      </x:c>
      <x:c r="B3" s="11" t="n">
        <x:v>9</x:v>
      </x:c>
      <x:c r="C3" s="4" t="str">
        <x:v>整页覆盖</x:v>
      </x:c>
      <x:c r="D3" s="4" t="str">
        <x:v>本页全部正文、图表与题目</x:v>
      </x:c>
      <x:c r="E3" s="10" t="str">
        <x:v>C07-L01</x:v>
      </x:c>
      <x:c r="F3" s="4" t="str">
        <x:v>相交线与平行线</x:v>
      </x:c>
      <x:c r="G3" s="4" t="str">
        <x:v>7.1.1</x:v>
      </x:c>
      <x:c r="H3" s="4" t="str">
        <x:v>相交线与对顶角</x:v>
      </x:c>
      <x:c r="I3" s="14" t="str">
        <x:v>已安排</x:v>
      </x:c>
      <x:c r="J3" s="4" t="str">
        <x:v>以当前教材PDF为准；后续逐课引用时复核题号、图号与数据</x:v>
      </x:c>
    </x:row>
    <x:row r="4" ht="34" customHeight="1">
      <x:c r="A4" s="11" t="n">
        <x:v>2</x:v>
      </x:c>
      <x:c r="B4" s="11" t="n">
        <x:v>9</x:v>
      </x:c>
      <x:c r="C4" s="4" t="str">
        <x:v>节/小节</x:v>
      </x:c>
      <x:c r="D4" s="4" t="str">
        <x:v>7.1 相交线</x:v>
      </x:c>
      <x:c r="E4" s="10" t="str">
        <x:v>C07-L01</x:v>
      </x:c>
      <x:c r="F4" s="4" t="str">
        <x:v>相交线与平行线</x:v>
      </x:c>
      <x:c r="G4" s="4" t="str">
        <x:v>7.1.1</x:v>
      </x:c>
      <x:c r="H4" s="4" t="str">
        <x:v>相交线与对顶角</x:v>
      </x:c>
      <x:c r="I4" s="14" t="str">
        <x:v>已安排</x:v>
      </x:c>
      <x:c r="J4" s="4" t="str">
        <x:v>以当前教材PDF为准；后续逐课引用时复核题号、图号与数据</x:v>
      </x:c>
    </x:row>
    <x:row r="5" ht="34" customHeight="1">
      <x:c r="A5" s="11" t="n">
        <x:v>3</x:v>
      </x:c>
      <x:c r="B5" s="11" t="n">
        <x:v>10</x:v>
      </x:c>
      <x:c r="C5" s="4" t="str">
        <x:v>整页覆盖</x:v>
      </x:c>
      <x:c r="D5" s="4" t="str">
        <x:v>本页全部正文、图表与题目</x:v>
      </x:c>
      <x:c r="E5" s="10" t="str">
        <x:v>C07-L01</x:v>
      </x:c>
      <x:c r="F5" s="4" t="str">
        <x:v>相交线与平行线</x:v>
      </x:c>
      <x:c r="G5" s="4" t="str">
        <x:v>7.1.1</x:v>
      </x:c>
      <x:c r="H5" s="4" t="str">
        <x:v>相交线与对顶角</x:v>
      </x:c>
      <x:c r="I5" s="14" t="str">
        <x:v>已安排</x:v>
      </x:c>
      <x:c r="J5" s="4" t="str">
        <x:v>以当前教材PDF为准；后续逐课引用时复核题号、图号与数据</x:v>
      </x:c>
    </x:row>
    <x:row r="6" ht="34" customHeight="1">
      <x:c r="A6" s="11" t="n">
        <x:v>3</x:v>
      </x:c>
      <x:c r="B6" s="11" t="n">
        <x:v>10</x:v>
      </x:c>
      <x:c r="C6" s="4" t="str">
        <x:v>例题</x:v>
      </x:c>
      <x:c r="D6" s="4" t="str">
        <x:v>例1 如图7.13,直线犪,犫相交,∠1=40°,</x:v>
      </x:c>
      <x:c r="E6" s="10" t="str">
        <x:v>C07-L01</x:v>
      </x:c>
      <x:c r="F6" s="4" t="str">
        <x:v>相交线与平行线</x:v>
      </x:c>
      <x:c r="G6" s="4" t="str">
        <x:v>7.1.1</x:v>
      </x:c>
      <x:c r="H6" s="4" t="str">
        <x:v>相交线与对顶角</x:v>
      </x:c>
      <x:c r="I6" s="14" t="str">
        <x:v>已安排</x:v>
      </x:c>
      <x:c r="J6" s="4" t="str">
        <x:v>以当前教材PDF为准；后续逐课引用时复核题号、图号与数据</x:v>
      </x:c>
    </x:row>
    <x:row r="7" ht="34" customHeight="1">
      <x:c r="A7" s="11" t="n">
        <x:v>4</x:v>
      </x:c>
      <x:c r="B7" s="11" t="n">
        <x:v>11</x:v>
      </x:c>
      <x:c r="C7" s="4" t="str">
        <x:v>正文/题目</x:v>
      </x:c>
      <x:c r="D7" s="4" t="str">
        <x:v>本页全部正文、图表与题目</x:v>
      </x:c>
      <x:c r="E7" s="10" t="str">
        <x:v>C07-L02</x:v>
      </x:c>
      <x:c r="F7" s="4" t="str">
        <x:v>相交线与平行线</x:v>
      </x:c>
      <x:c r="G7" s="4" t="str">
        <x:v>7.1.2</x:v>
      </x:c>
      <x:c r="H7" s="4" t="str">
        <x:v>垂线的概念与画法</x:v>
      </x:c>
      <x:c r="I7" s="14" t="str">
        <x:v>已安排</x:v>
      </x:c>
      <x:c r="J7" s="4" t="str">
        <x:v>以当前教材PDF为准；后续逐课引用时复核题号、图号与数据</x:v>
      </x:c>
    </x:row>
    <x:row r="8" ht="34" customHeight="1">
      <x:c r="A8" s="11" t="n">
        <x:v>5</x:v>
      </x:c>
      <x:c r="B8" s="11" t="n">
        <x:v>12</x:v>
      </x:c>
      <x:c r="C8" s="4" t="str">
        <x:v>整页覆盖</x:v>
      </x:c>
      <x:c r="D8" s="4" t="str">
        <x:v>本页全部正文、图表与题目</x:v>
      </x:c>
      <x:c r="E8" s="10" t="str">
        <x:v>C07-L02</x:v>
      </x:c>
      <x:c r="F8" s="4" t="str">
        <x:v>相交线与平行线</x:v>
      </x:c>
      <x:c r="G8" s="4" t="str">
        <x:v>7.1.2</x:v>
      </x:c>
      <x:c r="H8" s="4" t="str">
        <x:v>垂线的概念与画法</x:v>
      </x:c>
      <x:c r="I8" s="14" t="str">
        <x:v>已安排</x:v>
      </x:c>
      <x:c r="J8" s="4" t="str">
        <x:v>以当前教材PDF为准；后续逐课引用时复核题号、图号与数据</x:v>
      </x:c>
    </x:row>
    <x:row r="9" ht="34" customHeight="1">
      <x:c r="A9" s="11" t="n">
        <x:v>5</x:v>
      </x:c>
      <x:c r="B9" s="11" t="n">
        <x:v>12</x:v>
      </x:c>
      <x:c r="C9" s="4" t="str">
        <x:v>例题</x:v>
      </x:c>
      <x:c r="D9" s="4" t="str">
        <x:v>例2 如图7.18,过点犘画出射线犃犅或线段犃犅的垂线.</x:v>
      </x:c>
      <x:c r="E9" s="10" t="str">
        <x:v>C07-L02</x:v>
      </x:c>
      <x:c r="F9" s="4" t="str">
        <x:v>相交线与平行线</x:v>
      </x:c>
      <x:c r="G9" s="4" t="str">
        <x:v>7.1.2</x:v>
      </x:c>
      <x:c r="H9" s="4" t="str">
        <x:v>垂线的概念与画法</x:v>
      </x:c>
      <x:c r="I9" s="14" t="str">
        <x:v>已安排</x:v>
      </x:c>
      <x:c r="J9" s="4" t="str">
        <x:v>以当前教材PDF为准；后续逐课引用时复核题号、图号与数据</x:v>
      </x:c>
    </x:row>
    <x:row r="10" ht="34" customHeight="1">
      <x:c r="A10" s="11" t="n">
        <x:v>6</x:v>
      </x:c>
      <x:c r="B10" s="11" t="n">
        <x:v>13</x:v>
      </x:c>
      <x:c r="C10" s="4" t="str">
        <x:v>正文/题目</x:v>
      </x:c>
      <x:c r="D10" s="4" t="str">
        <x:v>本页全部正文、图表与题目</x:v>
      </x:c>
      <x:c r="E10" s="10" t="str">
        <x:v>C07-L03</x:v>
      </x:c>
      <x:c r="F10" s="4" t="str">
        <x:v>相交线与平行线</x:v>
      </x:c>
      <x:c r="G10" s="4" t="str">
        <x:v>7.1.2</x:v>
      </x:c>
      <x:c r="H10" s="4" t="str">
        <x:v>垂线段与点到直线的距离</x:v>
      </x:c>
      <x:c r="I10" s="14" t="str">
        <x:v>已安排</x:v>
      </x:c>
      <x:c r="J10" s="4" t="str">
        <x:v>以当前教材PDF为准；后续逐课引用时复核题号、图号与数据</x:v>
      </x:c>
    </x:row>
    <x:row r="11" ht="34" customHeight="1">
      <x:c r="A11" s="11" t="n">
        <x:v>7</x:v>
      </x:c>
      <x:c r="B11" s="11" t="n">
        <x:v>14</x:v>
      </x:c>
      <x:c r="C11" s="4" t="str">
        <x:v>整页覆盖</x:v>
      </x:c>
      <x:c r="D11" s="4" t="str">
        <x:v>本页全部正文、图表与题目</x:v>
      </x:c>
      <x:c r="E11" s="10" t="str">
        <x:v>C07-L04</x:v>
      </x:c>
      <x:c r="F11" s="4" t="str">
        <x:v>相交线与平行线</x:v>
      </x:c>
      <x:c r="G11" s="4" t="str">
        <x:v>7.1.3</x:v>
      </x:c>
      <x:c r="H11" s="4" t="str">
        <x:v>两条直线被第三条直线所截</x:v>
      </x:c>
      <x:c r="I11" s="14" t="str">
        <x:v>已安排</x:v>
      </x:c>
      <x:c r="J11" s="4" t="str">
        <x:v>以当前教材PDF为准；后续逐课引用时复核题号、图号与数据</x:v>
      </x:c>
    </x:row>
    <x:row r="12" ht="34" customHeight="1">
      <x:c r="A12" s="11" t="n">
        <x:v>7</x:v>
      </x:c>
      <x:c r="B12" s="11" t="n">
        <x:v>14</x:v>
      </x:c>
      <x:c r="C12" s="4" t="str">
        <x:v>例题</x:v>
      </x:c>
      <x:c r="D12" s="4" t="str">
        <x:v>例3 如图7.113,直线犇犈,犅犆被直线犃犅</x:v>
      </x:c>
      <x:c r="E12" s="10" t="str">
        <x:v>C07-L04</x:v>
      </x:c>
      <x:c r="F12" s="4" t="str">
        <x:v>相交线与平行线</x:v>
      </x:c>
      <x:c r="G12" s="4" t="str">
        <x:v>7.1.3</x:v>
      </x:c>
      <x:c r="H12" s="4" t="str">
        <x:v>两条直线被第三条直线所截</x:v>
      </x:c>
      <x:c r="I12" s="14" t="str">
        <x:v>已安排</x:v>
      </x:c>
      <x:c r="J12" s="4" t="str">
        <x:v>以当前教材PDF为准；后续逐课引用时复核题号、图号与数据</x:v>
      </x:c>
    </x:row>
    <x:row r="13" ht="34" customHeight="1">
      <x:c r="A13" s="11" t="n">
        <x:v>8</x:v>
      </x:c>
      <x:c r="B13" s="11" t="n">
        <x:v>15</x:v>
      </x:c>
      <x:c r="C13" s="4" t="str">
        <x:v>正文/题目</x:v>
      </x:c>
      <x:c r="D13" s="4" t="str">
        <x:v>本页全部正文、图表与题目</x:v>
      </x:c>
      <x:c r="E13" s="10" t="str">
        <x:v>C07-L04</x:v>
      </x:c>
      <x:c r="F13" s="4" t="str">
        <x:v>相交线与平行线</x:v>
      </x:c>
      <x:c r="G13" s="4" t="str">
        <x:v>7.1.3</x:v>
      </x:c>
      <x:c r="H13" s="4" t="str">
        <x:v>两条直线被第三条直线所截</x:v>
      </x:c>
      <x:c r="I13" s="14" t="str">
        <x:v>已安排</x:v>
      </x:c>
      <x:c r="J13" s="4" t="str">
        <x:v>以当前教材PDF为准；后续逐课引用时复核题号、图号与数据</x:v>
      </x:c>
    </x:row>
    <x:row r="14" ht="34" customHeight="1">
      <x:c r="A14" s="11" t="n">
        <x:v>9</x:v>
      </x:c>
      <x:c r="B14" s="11" t="n">
        <x:v>16</x:v>
      </x:c>
      <x:c r="C14" s="4" t="str">
        <x:v>正文/题目</x:v>
      </x:c>
      <x:c r="D14" s="4" t="str">
        <x:v>本页全部正文、图表与题目</x:v>
      </x:c>
      <x:c r="E14" s="10" t="str">
        <x:v>C07-L04</x:v>
      </x:c>
      <x:c r="F14" s="4" t="str">
        <x:v>相交线与平行线</x:v>
      </x:c>
      <x:c r="G14" s="4" t="str">
        <x:v>7.1.3</x:v>
      </x:c>
      <x:c r="H14" s="4" t="str">
        <x:v>两条直线被第三条直线所截</x:v>
      </x:c>
      <x:c r="I14" s="14" t="str">
        <x:v>已安排</x:v>
      </x:c>
      <x:c r="J14" s="4" t="str">
        <x:v>以当前教材PDF为准；后续逐课引用时复核题号、图号与数据</x:v>
      </x:c>
    </x:row>
    <x:row r="15" ht="34" customHeight="1">
      <x:c r="A15" s="11" t="n">
        <x:v>10</x:v>
      </x:c>
      <x:c r="B15" s="11" t="n">
        <x:v>17</x:v>
      </x:c>
      <x:c r="C15" s="4" t="str">
        <x:v>正文/题目</x:v>
      </x:c>
      <x:c r="D15" s="4" t="str">
        <x:v>本页全部正文、图表与题目</x:v>
      </x:c>
      <x:c r="E15" s="10" t="str">
        <x:v>C07-L04</x:v>
      </x:c>
      <x:c r="F15" s="4" t="str">
        <x:v>相交线与平行线</x:v>
      </x:c>
      <x:c r="G15" s="4" t="str">
        <x:v>7.1.3</x:v>
      </x:c>
      <x:c r="H15" s="4" t="str">
        <x:v>两条直线被第三条直线所截</x:v>
      </x:c>
      <x:c r="I15" s="14" t="str">
        <x:v>已安排</x:v>
      </x:c>
      <x:c r="J15" s="4" t="str">
        <x:v>以当前教材PDF为准；后续逐课引用时复核题号、图号与数据</x:v>
      </x:c>
    </x:row>
    <x:row r="16" ht="34" customHeight="1">
      <x:c r="A16" s="11" t="n">
        <x:v>11</x:v>
      </x:c>
      <x:c r="B16" s="11" t="n">
        <x:v>18</x:v>
      </x:c>
      <x:c r="C16" s="4" t="str">
        <x:v>整页覆盖</x:v>
      </x:c>
      <x:c r="D16" s="4" t="str">
        <x:v>本页全部正文、图表与题目</x:v>
      </x:c>
      <x:c r="E16" s="10" t="str">
        <x:v>C07-L05</x:v>
      </x:c>
      <x:c r="F16" s="4" t="str">
        <x:v>相交线与平行线</x:v>
      </x:c>
      <x:c r="G16" s="4" t="str">
        <x:v>7.2.1</x:v>
      </x:c>
      <x:c r="H16" s="4" t="str">
        <x:v>平行线与平行公理</x:v>
      </x:c>
      <x:c r="I16" s="14" t="str">
        <x:v>已安排</x:v>
      </x:c>
      <x:c r="J16" s="4" t="str">
        <x:v>以当前教材PDF为准；后续逐课引用时复核题号、图号与数据</x:v>
      </x:c>
    </x:row>
    <x:row r="17" ht="34" customHeight="1">
      <x:c r="A17" s="11" t="n">
        <x:v>11</x:v>
      </x:c>
      <x:c r="B17" s="11" t="n">
        <x:v>18</x:v>
      </x:c>
      <x:c r="C17" s="4" t="str">
        <x:v>节/小节</x:v>
      </x:c>
      <x:c r="D17" s="4" t="str">
        <x:v>7.2 平行线</x:v>
      </x:c>
      <x:c r="E17" s="10" t="str">
        <x:v>C07-L05</x:v>
      </x:c>
      <x:c r="F17" s="4" t="str">
        <x:v>相交线与平行线</x:v>
      </x:c>
      <x:c r="G17" s="4" t="str">
        <x:v>7.2.1</x:v>
      </x:c>
      <x:c r="H17" s="4" t="str">
        <x:v>平行线与平行公理</x:v>
      </x:c>
      <x:c r="I17" s="14" t="str">
        <x:v>已安排</x:v>
      </x:c>
      <x:c r="J17" s="4" t="str">
        <x:v>以当前教材PDF为准；后续逐课引用时复核题号、图号与数据</x:v>
      </x:c>
    </x:row>
    <x:row r="18" ht="34" customHeight="1">
      <x:c r="A18" s="11" t="n">
        <x:v>12</x:v>
      </x:c>
      <x:c r="B18" s="11" t="n">
        <x:v>19</x:v>
      </x:c>
      <x:c r="C18" s="4" t="str">
        <x:v>正文/题目</x:v>
      </x:c>
      <x:c r="D18" s="4" t="str">
        <x:v>本页全部正文、图表与题目</x:v>
      </x:c>
      <x:c r="E18" s="10" t="str">
        <x:v>C07-L05</x:v>
      </x:c>
      <x:c r="F18" s="4" t="str">
        <x:v>相交线与平行线</x:v>
      </x:c>
      <x:c r="G18" s="4" t="str">
        <x:v>7.2.1</x:v>
      </x:c>
      <x:c r="H18" s="4" t="str">
        <x:v>平行线与平行公理</x:v>
      </x:c>
      <x:c r="I18" s="14" t="str">
        <x:v>已安排</x:v>
      </x:c>
      <x:c r="J18" s="4" t="str">
        <x:v>以当前教材PDF为准；后续逐课引用时复核题号、图号与数据</x:v>
      </x:c>
    </x:row>
    <x:row r="19" ht="34" customHeight="1">
      <x:c r="A19" s="11" t="n">
        <x:v>13</x:v>
      </x:c>
      <x:c r="B19" s="11" t="n">
        <x:v>20</x:v>
      </x:c>
      <x:c r="C19" s="4" t="str">
        <x:v>正文/题目</x:v>
      </x:c>
      <x:c r="D19" s="4" t="str">
        <x:v>本页全部正文、图表与题目</x:v>
      </x:c>
      <x:c r="E19" s="10" t="str">
        <x:v>C07-L06</x:v>
      </x:c>
      <x:c r="F19" s="4" t="str">
        <x:v>相交线与平行线</x:v>
      </x:c>
      <x:c r="G19" s="4" t="str">
        <x:v>7.2.2</x:v>
      </x:c>
      <x:c r="H19" s="4" t="str">
        <x:v>平行线的判定</x:v>
      </x:c>
      <x:c r="I19" s="14" t="str">
        <x:v>已安排</x:v>
      </x:c>
      <x:c r="J19" s="4" t="str">
        <x:v>以当前教材PDF为准；后续逐课引用时复核题号、图号与数据</x:v>
      </x:c>
    </x:row>
    <x:row r="20" ht="34" customHeight="1">
      <x:c r="A20" s="11" t="n">
        <x:v>14</x:v>
      </x:c>
      <x:c r="B20" s="11" t="n">
        <x:v>21</x:v>
      </x:c>
      <x:c r="C20" s="4" t="str">
        <x:v>整页覆盖</x:v>
      </x:c>
      <x:c r="D20" s="4" t="str">
        <x:v>本页全部正文、图表与题目</x:v>
      </x:c>
      <x:c r="E20" s="10" t="str">
        <x:v>C07-L06</x:v>
      </x:c>
      <x:c r="F20" s="4" t="str">
        <x:v>相交线与平行线</x:v>
      </x:c>
      <x:c r="G20" s="4" t="str">
        <x:v>7.2.2</x:v>
      </x:c>
      <x:c r="H20" s="4" t="str">
        <x:v>平行线的判定</x:v>
      </x:c>
      <x:c r="I20" s="14" t="str">
        <x:v>已安排</x:v>
      </x:c>
      <x:c r="J20" s="4" t="str">
        <x:v>以当前教材PDF为准；后续逐课引用时复核题号、图号与数据</x:v>
      </x:c>
    </x:row>
    <x:row r="21" ht="34" customHeight="1">
      <x:c r="A21" s="11" t="n">
        <x:v>14</x:v>
      </x:c>
      <x:c r="B21" s="11" t="n">
        <x:v>21</x:v>
      </x:c>
      <x:c r="C21" s="4" t="str">
        <x:v>例题</x:v>
      </x:c>
      <x:c r="D21" s="4" t="str">
        <x:v>例1 在同一平面内,如果两条直线都垂直于同一条</x:v>
      </x:c>
      <x:c r="E21" s="10" t="str">
        <x:v>C07-L06</x:v>
      </x:c>
      <x:c r="F21" s="4" t="str">
        <x:v>相交线与平行线</x:v>
      </x:c>
      <x:c r="G21" s="4" t="str">
        <x:v>7.2.2</x:v>
      </x:c>
      <x:c r="H21" s="4" t="str">
        <x:v>平行线的判定</x:v>
      </x:c>
      <x:c r="I21" s="14" t="str">
        <x:v>已安排</x:v>
      </x:c>
      <x:c r="J21" s="4" t="str">
        <x:v>以当前教材PDF为准；后续逐课引用时复核题号、图号与数据</x:v>
      </x:c>
    </x:row>
    <x:row r="22" ht="34" customHeight="1">
      <x:c r="A22" s="11" t="n">
        <x:v>15</x:v>
      </x:c>
      <x:c r="B22" s="11" t="n">
        <x:v>22</x:v>
      </x:c>
      <x:c r="C22" s="4" t="str">
        <x:v>正文/题目</x:v>
      </x:c>
      <x:c r="D22" s="4" t="str">
        <x:v>本页全部正文、图表与题目</x:v>
      </x:c>
      <x:c r="E22" s="10" t="str">
        <x:v>C07-L06</x:v>
      </x:c>
      <x:c r="F22" s="4" t="str">
        <x:v>相交线与平行线</x:v>
      </x:c>
      <x:c r="G22" s="4" t="str">
        <x:v>7.2.2</x:v>
      </x:c>
      <x:c r="H22" s="4" t="str">
        <x:v>平行线的判定</x:v>
      </x:c>
      <x:c r="I22" s="14" t="str">
        <x:v>已安排</x:v>
      </x:c>
      <x:c r="J22" s="4" t="str">
        <x:v>以当前教材PDF为准；后续逐课引用时复核题号、图号与数据</x:v>
      </x:c>
    </x:row>
    <x:row r="23" ht="34" customHeight="1">
      <x:c r="A23" s="11" t="n">
        <x:v>16</x:v>
      </x:c>
      <x:c r="B23" s="11" t="n">
        <x:v>23</x:v>
      </x:c>
      <x:c r="C23" s="4" t="str">
        <x:v>整页覆盖</x:v>
      </x:c>
      <x:c r="D23" s="4" t="str">
        <x:v>本页全部正文、图表与题目</x:v>
      </x:c>
      <x:c r="E23" s="10" t="str">
        <x:v>C07-L07</x:v>
      </x:c>
      <x:c r="F23" s="4" t="str">
        <x:v>相交线与平行线</x:v>
      </x:c>
      <x:c r="G23" s="4" t="str">
        <x:v>7.2.3</x:v>
      </x:c>
      <x:c r="H23" s="4" t="str">
        <x:v>平行线的性质</x:v>
      </x:c>
      <x:c r="I23" s="14" t="str">
        <x:v>已安排</x:v>
      </x:c>
      <x:c r="J23" s="4" t="str">
        <x:v>以当前教材PDF为准；后续逐课引用时复核题号、图号与数据</x:v>
      </x:c>
    </x:row>
    <x:row r="24" ht="34" customHeight="1">
      <x:c r="A24" s="11" t="n">
        <x:v>16</x:v>
      </x:c>
      <x:c r="B24" s="11" t="n">
        <x:v>23</x:v>
      </x:c>
      <x:c r="C24" s="4" t="str">
        <x:v>例题</x:v>
      </x:c>
      <x:c r="D24" s="4" t="str">
        <x:v>例2 图7.211是一块梯形铁片的残余部分,量得∠犃=100°,∠犅=</x:v>
      </x:c>
      <x:c r="E24" s="10" t="str">
        <x:v>C07-L07</x:v>
      </x:c>
      <x:c r="F24" s="4" t="str">
        <x:v>相交线与平行线</x:v>
      </x:c>
      <x:c r="G24" s="4" t="str">
        <x:v>7.2.3</x:v>
      </x:c>
      <x:c r="H24" s="4" t="str">
        <x:v>平行线的性质</x:v>
      </x:c>
      <x:c r="I24" s="14" t="str">
        <x:v>已安排</x:v>
      </x:c>
      <x:c r="J24" s="4" t="str">
        <x:v>以当前教材PDF为准；后续逐课引用时复核题号、图号与数据</x:v>
      </x:c>
    </x:row>
    <x:row r="25" ht="34" customHeight="1">
      <x:c r="A25" s="11" t="n">
        <x:v>17</x:v>
      </x:c>
      <x:c r="B25" s="11" t="n">
        <x:v>24</x:v>
      </x:c>
      <x:c r="C25" s="4" t="str">
        <x:v>整页覆盖</x:v>
      </x:c>
      <x:c r="D25" s="4" t="str">
        <x:v>本页全部正文、图表与题目</x:v>
      </x:c>
      <x:c r="E25" s="10" t="str">
        <x:v>C07-L07</x:v>
      </x:c>
      <x:c r="F25" s="4" t="str">
        <x:v>相交线与平行线</x:v>
      </x:c>
      <x:c r="G25" s="4" t="str">
        <x:v>7.2.3</x:v>
      </x:c>
      <x:c r="H25" s="4" t="str">
        <x:v>平行线的性质</x:v>
      </x:c>
      <x:c r="I25" s="14" t="str">
        <x:v>已安排</x:v>
      </x:c>
      <x:c r="J25" s="4" t="str">
        <x:v>以当前教材PDF为准；后续逐课引用时复核题号、图号与数据</x:v>
      </x:c>
    </x:row>
    <x:row r="26" ht="34" customHeight="1">
      <x:c r="A26" s="11" t="n">
        <x:v>17</x:v>
      </x:c>
      <x:c r="B26" s="11" t="n">
        <x:v>24</x:v>
      </x:c>
      <x:c r="C26" s="4" t="str">
        <x:v>例题</x:v>
      </x:c>
      <x:c r="D26" s="4" t="str">
        <x:v>例3 如图7.212,已知直线犪∥犫,∠1=∠3,那</x:v>
      </x:c>
      <x:c r="E26" s="10" t="str">
        <x:v>C07-L07</x:v>
      </x:c>
      <x:c r="F26" s="4" t="str">
        <x:v>相交线与平行线</x:v>
      </x:c>
      <x:c r="G26" s="4" t="str">
        <x:v>7.2.3</x:v>
      </x:c>
      <x:c r="H26" s="4" t="str">
        <x:v>平行线的性质</x:v>
      </x:c>
      <x:c r="I26" s="14" t="str">
        <x:v>已安排</x:v>
      </x:c>
      <x:c r="J26" s="4" t="str">
        <x:v>以当前教材PDF为准；后续逐课引用时复核题号、图号与数据</x:v>
      </x:c>
    </x:row>
    <x:row r="27" ht="34" customHeight="1">
      <x:c r="A27" s="11" t="n">
        <x:v>18</x:v>
      </x:c>
      <x:c r="B27" s="11" t="n">
        <x:v>25</x:v>
      </x:c>
      <x:c r="C27" s="4" t="str">
        <x:v>整页覆盖</x:v>
      </x:c>
      <x:c r="D27" s="4" t="str">
        <x:v>本页全部正文、图表与题目</x:v>
      </x:c>
      <x:c r="E27" s="10" t="str">
        <x:v>C07-L07</x:v>
      </x:c>
      <x:c r="F27" s="4" t="str">
        <x:v>相交线与平行线</x:v>
      </x:c>
      <x:c r="G27" s="4" t="str">
        <x:v>7.2.3</x:v>
      </x:c>
      <x:c r="H27" s="4" t="str">
        <x:v>平行线的性质</x:v>
      </x:c>
      <x:c r="I27" s="14" t="str">
        <x:v>已安排</x:v>
      </x:c>
      <x:c r="J27" s="4" t="str">
        <x:v>以当前教材PDF为准；后续逐课引用时复核题号、图号与数据</x:v>
      </x:c>
    </x:row>
    <x:row r="28" ht="34" customHeight="1">
      <x:c r="A28" s="11" t="n">
        <x:v>18</x:v>
      </x:c>
      <x:c r="B28" s="11" t="n">
        <x:v>25</x:v>
      </x:c>
      <x:c r="C28" s="4" t="str">
        <x:v>例题</x:v>
      </x:c>
      <x:c r="D28" s="4" t="str">
        <x:v>例4 如图7.213,∠1=∠2,∠3=50°,∠犃犅犆等于</x:v>
      </x:c>
      <x:c r="E28" s="10" t="str">
        <x:v>C07-L07</x:v>
      </x:c>
      <x:c r="F28" s="4" t="str">
        <x:v>相交线与平行线</x:v>
      </x:c>
      <x:c r="G28" s="4" t="str">
        <x:v>7.2.3</x:v>
      </x:c>
      <x:c r="H28" s="4" t="str">
        <x:v>平行线的性质</x:v>
      </x:c>
      <x:c r="I28" s="14" t="str">
        <x:v>已安排</x:v>
      </x:c>
      <x:c r="J28" s="4" t="str">
        <x:v>以当前教材PDF为准；后续逐课引用时复核题号、图号与数据</x:v>
      </x:c>
    </x:row>
    <x:row r="29" ht="34" customHeight="1">
      <x:c r="A29" s="11" t="n">
        <x:v>19</x:v>
      </x:c>
      <x:c r="B29" s="11" t="n">
        <x:v>26</x:v>
      </x:c>
      <x:c r="C29" s="4" t="str">
        <x:v>正文/题目</x:v>
      </x:c>
      <x:c r="D29" s="4" t="str">
        <x:v>本页全部正文、图表与题目</x:v>
      </x:c>
      <x:c r="E29" s="10" t="str">
        <x:v>C07-L08</x:v>
      </x:c>
      <x:c r="F29" s="4" t="str">
        <x:v>相交线与平行线</x:v>
      </x:c>
      <x:c r="G29" s="4" t="n">
        <x:v>7.2</x:v>
      </x:c>
      <x:c r="H29" s="4" t="str">
        <x:v>平行线的判定与性质综合</x:v>
      </x:c>
      <x:c r="I29" s="14" t="str">
        <x:v>已安排</x:v>
      </x:c>
      <x:c r="J29" s="4" t="str">
        <x:v>以当前教材PDF为准；后续逐课引用时复核题号、图号与数据</x:v>
      </x:c>
    </x:row>
    <x:row r="30" ht="34" customHeight="1">
      <x:c r="A30" s="11" t="n">
        <x:v>20</x:v>
      </x:c>
      <x:c r="B30" s="11" t="n">
        <x:v>27</x:v>
      </x:c>
      <x:c r="C30" s="4" t="str">
        <x:v>正文/题目</x:v>
      </x:c>
      <x:c r="D30" s="4" t="str">
        <x:v>本页全部正文、图表与题目</x:v>
      </x:c>
      <x:c r="E30" s="10" t="str">
        <x:v>C07-L08</x:v>
      </x:c>
      <x:c r="F30" s="4" t="str">
        <x:v>相交线与平行线</x:v>
      </x:c>
      <x:c r="G30" s="4" t="n">
        <x:v>7.2</x:v>
      </x:c>
      <x:c r="H30" s="4" t="str">
        <x:v>平行线的判定与性质综合</x:v>
      </x:c>
      <x:c r="I30" s="14" t="str">
        <x:v>已安排</x:v>
      </x:c>
      <x:c r="J30" s="4" t="str">
        <x:v>以当前教材PDF为准；后续逐课引用时复核题号、图号与数据</x:v>
      </x:c>
    </x:row>
    <x:row r="31" ht="34" customHeight="1">
      <x:c r="A31" s="11" t="n">
        <x:v>21</x:v>
      </x:c>
      <x:c r="B31" s="11" t="n">
        <x:v>28</x:v>
      </x:c>
      <x:c r="C31" s="4" t="str">
        <x:v>正文/题目</x:v>
      </x:c>
      <x:c r="D31" s="4" t="str">
        <x:v>本页全部正文、图表与题目</x:v>
      </x:c>
      <x:c r="E31" s="10" t="str">
        <x:v>C07-L08</x:v>
      </x:c>
      <x:c r="F31" s="4" t="str">
        <x:v>相交线与平行线</x:v>
      </x:c>
      <x:c r="G31" s="4" t="n">
        <x:v>7.2</x:v>
      </x:c>
      <x:c r="H31" s="4" t="str">
        <x:v>平行线的判定与性质综合</x:v>
      </x:c>
      <x:c r="I31" s="14" t="str">
        <x:v>已安排</x:v>
      </x:c>
      <x:c r="J31" s="4" t="str">
        <x:v>以当前教材PDF为准；后续逐课引用时复核题号、图号与数据</x:v>
      </x:c>
    </x:row>
    <x:row r="32" ht="34" customHeight="1">
      <x:c r="A32" s="11" t="n">
        <x:v>22</x:v>
      </x:c>
      <x:c r="B32" s="11" t="n">
        <x:v>29</x:v>
      </x:c>
      <x:c r="C32" s="4" t="str">
        <x:v>整页覆盖</x:v>
      </x:c>
      <x:c r="D32" s="4" t="str">
        <x:v>本页全部正文、图表与题目</x:v>
      </x:c>
      <x:c r="E32" s="10" t="str">
        <x:v>C07-L09</x:v>
      </x:c>
      <x:c r="F32" s="4" t="str">
        <x:v>相交线与平行线</x:v>
      </x:c>
      <x:c r="G32" s="4" t="n">
        <x:v>7.3</x:v>
      </x:c>
      <x:c r="H32" s="4" t="str">
        <x:v>定义、命题、定理</x:v>
      </x:c>
      <x:c r="I32" s="14" t="str">
        <x:v>已安排</x:v>
      </x:c>
      <x:c r="J32" s="4" t="str">
        <x:v>以当前教材PDF为准；后续逐课引用时复核题号、图号与数据</x:v>
      </x:c>
    </x:row>
    <x:row r="33" ht="34" customHeight="1">
      <x:c r="A33" s="11" t="n">
        <x:v>22</x:v>
      </x:c>
      <x:c r="B33" s="11" t="n">
        <x:v>29</x:v>
      </x:c>
      <x:c r="C33" s="4" t="str">
        <x:v>节/小节</x:v>
      </x:c>
      <x:c r="D33" s="4" t="str">
        <x:v>7.3 定义、命题、定理</x:v>
      </x:c>
      <x:c r="E33" s="10" t="str">
        <x:v>C07-L09</x:v>
      </x:c>
      <x:c r="F33" s="4" t="str">
        <x:v>相交线与平行线</x:v>
      </x:c>
      <x:c r="G33" s="4" t="n">
        <x:v>7.3</x:v>
      </x:c>
      <x:c r="H33" s="4" t="str">
        <x:v>定义、命题、定理</x:v>
      </x:c>
      <x:c r="I33" s="14" t="str">
        <x:v>已安排</x:v>
      </x:c>
      <x:c r="J33" s="4" t="str">
        <x:v>以当前教材PDF为准；后续逐课引用时复核题号、图号与数据</x:v>
      </x:c>
    </x:row>
    <x:row r="34" ht="34" customHeight="1">
      <x:c r="A34" s="11" t="n">
        <x:v>23</x:v>
      </x:c>
      <x:c r="B34" s="11" t="n">
        <x:v>30</x:v>
      </x:c>
      <x:c r="C34" s="4" t="str">
        <x:v>整页覆盖</x:v>
      </x:c>
      <x:c r="D34" s="4" t="str">
        <x:v>本页全部正文、图表与题目</x:v>
      </x:c>
      <x:c r="E34" s="10" t="str">
        <x:v>C07-L09</x:v>
      </x:c>
      <x:c r="F34" s="4" t="str">
        <x:v>相交线与平行线</x:v>
      </x:c>
      <x:c r="G34" s="4" t="n">
        <x:v>7.3</x:v>
      </x:c>
      <x:c r="H34" s="4" t="str">
        <x:v>定义、命题、定理</x:v>
      </x:c>
      <x:c r="I34" s="14" t="str">
        <x:v>已安排</x:v>
      </x:c>
      <x:c r="J34" s="4" t="str">
        <x:v>以当前教材PDF为准；后续逐课引用时复核题号、图号与数据</x:v>
      </x:c>
    </x:row>
    <x:row r="35" ht="34" customHeight="1">
      <x:c r="A35" s="11" t="n">
        <x:v>23</x:v>
      </x:c>
      <x:c r="B35" s="11" t="n">
        <x:v>30</x:v>
      </x:c>
      <x:c r="C35" s="4" t="str">
        <x:v>例题</x:v>
      </x:c>
      <x:c r="D35" s="4" t="str">
        <x:v>例（无编号） 如图7.31,已知直线犪⊥犫,犫∥犮,求证犪⊥犮.</x:v>
      </x:c>
      <x:c r="E35" s="10" t="str">
        <x:v>C07-L09</x:v>
      </x:c>
      <x:c r="F35" s="4" t="str">
        <x:v>相交线与平行线</x:v>
      </x:c>
      <x:c r="G35" s="4" t="n">
        <x:v>7.3</x:v>
      </x:c>
      <x:c r="H35" s="4" t="str">
        <x:v>定义、命题、定理</x:v>
      </x:c>
      <x:c r="I35" s="14" t="str">
        <x:v>已安排</x:v>
      </x:c>
      <x:c r="J35" s="4" t="str">
        <x:v>以当前教材PDF为准；后续逐课引用时复核题号、图号与数据</x:v>
      </x:c>
    </x:row>
    <x:row r="36" ht="34" customHeight="1">
      <x:c r="A36" s="11" t="n">
        <x:v>24</x:v>
      </x:c>
      <x:c r="B36" s="11" t="n">
        <x:v>31</x:v>
      </x:c>
      <x:c r="C36" s="4" t="str">
        <x:v>正文/题目</x:v>
      </x:c>
      <x:c r="D36" s="4" t="str">
        <x:v>本页全部正文、图表与题目</x:v>
      </x:c>
      <x:c r="E36" s="10" t="str">
        <x:v>C07-L09</x:v>
      </x:c>
      <x:c r="F36" s="4" t="str">
        <x:v>相交线与平行线</x:v>
      </x:c>
      <x:c r="G36" s="4" t="n">
        <x:v>7.3</x:v>
      </x:c>
      <x:c r="H36" s="4" t="str">
        <x:v>定义、命题、定理</x:v>
      </x:c>
      <x:c r="I36" s="14" t="str">
        <x:v>已安排</x:v>
      </x:c>
      <x:c r="J36" s="4" t="str">
        <x:v>以当前教材PDF为准；后续逐课引用时复核题号、图号与数据</x:v>
      </x:c>
    </x:row>
    <x:row r="37" ht="34" customHeight="1">
      <x:c r="A37" s="11" t="n">
        <x:v>25</x:v>
      </x:c>
      <x:c r="B37" s="11" t="n">
        <x:v>32</x:v>
      </x:c>
      <x:c r="C37" s="4" t="str">
        <x:v>正文/题目</x:v>
      </x:c>
      <x:c r="D37" s="4" t="str">
        <x:v>本页全部正文、图表与题目</x:v>
      </x:c>
      <x:c r="E37" s="10" t="str">
        <x:v>C07-L09</x:v>
      </x:c>
      <x:c r="F37" s="4" t="str">
        <x:v>相交线与平行线</x:v>
      </x:c>
      <x:c r="G37" s="4" t="n">
        <x:v>7.3</x:v>
      </x:c>
      <x:c r="H37" s="4" t="str">
        <x:v>定义、命题、定理</x:v>
      </x:c>
      <x:c r="I37" s="14" t="str">
        <x:v>已安排</x:v>
      </x:c>
      <x:c r="J37" s="4" t="str">
        <x:v>以当前教材PDF为准；后续逐课引用时复核题号、图号与数据</x:v>
      </x:c>
    </x:row>
    <x:row r="38" ht="34" customHeight="1">
      <x:c r="A38" s="11" t="n">
        <x:v>26</x:v>
      </x:c>
      <x:c r="B38" s="11" t="n">
        <x:v>33</x:v>
      </x:c>
      <x:c r="C38" s="4" t="str">
        <x:v>整页覆盖</x:v>
      </x:c>
      <x:c r="D38" s="4" t="str">
        <x:v>本页全部正文、图表与题目</x:v>
      </x:c>
      <x:c r="E38" s="10" t="str">
        <x:v>C07-L10</x:v>
      </x:c>
      <x:c r="F38" s="4" t="str">
        <x:v>相交线与平行线</x:v>
      </x:c>
      <x:c r="G38" s="4" t="n">
        <x:v>7.4</x:v>
      </x:c>
      <x:c r="H38" s="4" t="str">
        <x:v>平移的概念、性质与作图</x:v>
      </x:c>
      <x:c r="I38" s="14" t="str">
        <x:v>已安排</x:v>
      </x:c>
      <x:c r="J38" s="4" t="str">
        <x:v>以当前教材PDF为准；后续逐课引用时复核题号、图号与数据</x:v>
      </x:c>
    </x:row>
    <x:row r="39" ht="34" customHeight="1">
      <x:c r="A39" s="11" t="n">
        <x:v>26</x:v>
      </x:c>
      <x:c r="B39" s="11" t="n">
        <x:v>33</x:v>
      </x:c>
      <x:c r="C39" s="4" t="str">
        <x:v>节/小节</x:v>
      </x:c>
      <x:c r="D39" s="4" t="str">
        <x:v>7.4 平移</x:v>
      </x:c>
      <x:c r="E39" s="10" t="str">
        <x:v>C07-L10</x:v>
      </x:c>
      <x:c r="F39" s="4" t="str">
        <x:v>相交线与平行线</x:v>
      </x:c>
      <x:c r="G39" s="4" t="n">
        <x:v>7.4</x:v>
      </x:c>
      <x:c r="H39" s="4" t="str">
        <x:v>平移的概念、性质与作图</x:v>
      </x:c>
      <x:c r="I39" s="14" t="str">
        <x:v>已安排</x:v>
      </x:c>
      <x:c r="J39" s="4" t="str">
        <x:v>以当前教材PDF为准；后续逐课引用时复核题号、图号与数据</x:v>
      </x:c>
    </x:row>
    <x:row r="40" ht="34" customHeight="1">
      <x:c r="A40" s="11" t="n">
        <x:v>27</x:v>
      </x:c>
      <x:c r="B40" s="11" t="n">
        <x:v>34</x:v>
      </x:c>
      <x:c r="C40" s="4" t="str">
        <x:v>整页覆盖</x:v>
      </x:c>
      <x:c r="D40" s="4" t="str">
        <x:v>本页全部正文、图表与题目</x:v>
      </x:c>
      <x:c r="E40" s="10" t="str">
        <x:v>C07-L10</x:v>
      </x:c>
      <x:c r="F40" s="4" t="str">
        <x:v>相交线与平行线</x:v>
      </x:c>
      <x:c r="G40" s="4" t="n">
        <x:v>7.4</x:v>
      </x:c>
      <x:c r="H40" s="4" t="str">
        <x:v>平移的概念、性质与作图</x:v>
      </x:c>
      <x:c r="I40" s="14" t="str">
        <x:v>已安排</x:v>
      </x:c>
      <x:c r="J40" s="4" t="str">
        <x:v>以当前教材PDF为准；后续逐课引用时复核题号、图号与数据</x:v>
      </x:c>
    </x:row>
    <x:row r="41" ht="34" customHeight="1">
      <x:c r="A41" s="11" t="n">
        <x:v>27</x:v>
      </x:c>
      <x:c r="B41" s="11" t="n">
        <x:v>34</x:v>
      </x:c>
      <x:c r="C41" s="4" t="str">
        <x:v>例题</x:v>
      </x:c>
      <x:c r="D41" s="4" t="str">
        <x:v>例（无编号） 如图7.44,平移三角形犃犅犆,使点犃移动到点犃′,画出平移后的</x:v>
      </x:c>
      <x:c r="E41" s="10" t="str">
        <x:v>C07-L10</x:v>
      </x:c>
      <x:c r="F41" s="4" t="str">
        <x:v>相交线与平行线</x:v>
      </x:c>
      <x:c r="G41" s="4" t="n">
        <x:v>7.4</x:v>
      </x:c>
      <x:c r="H41" s="4" t="str">
        <x:v>平移的概念、性质与作图</x:v>
      </x:c>
      <x:c r="I41" s="14" t="str">
        <x:v>已安排</x:v>
      </x:c>
      <x:c r="J41" s="4" t="str">
        <x:v>以当前教材PDF为准；后续逐课引用时复核题号、图号与数据</x:v>
      </x:c>
    </x:row>
    <x:row r="42" ht="34" customHeight="1">
      <x:c r="A42" s="11" t="n">
        <x:v>28</x:v>
      </x:c>
      <x:c r="B42" s="11" t="n">
        <x:v>35</x:v>
      </x:c>
      <x:c r="C42" s="4" t="str">
        <x:v>正文/题目</x:v>
      </x:c>
      <x:c r="D42" s="4" t="str">
        <x:v>本页全部正文、图表与题目</x:v>
      </x:c>
      <x:c r="E42" s="10" t="str">
        <x:v>C07-L10</x:v>
      </x:c>
      <x:c r="F42" s="4" t="str">
        <x:v>相交线与平行线</x:v>
      </x:c>
      <x:c r="G42" s="4" t="n">
        <x:v>7.4</x:v>
      </x:c>
      <x:c r="H42" s="4" t="str">
        <x:v>平移的概念、性质与作图</x:v>
      </x:c>
      <x:c r="I42" s="14" t="str">
        <x:v>已安排</x:v>
      </x:c>
      <x:c r="J42" s="4" t="str">
        <x:v>以当前教材PDF为准；后续逐课引用时复核题号、图号与数据</x:v>
      </x:c>
    </x:row>
    <x:row r="43" ht="34" customHeight="1">
      <x:c r="A43" s="11" t="n">
        <x:v>29</x:v>
      </x:c>
      <x:c r="B43" s="11" t="n">
        <x:v>36</x:v>
      </x:c>
      <x:c r="C43" s="4" t="str">
        <x:v>正文/题目</x:v>
      </x:c>
      <x:c r="D43" s="4" t="str">
        <x:v>本页全部正文、图表与题目</x:v>
      </x:c>
      <x:c r="E43" s="10" t="str">
        <x:v>C07-L10</x:v>
      </x:c>
      <x:c r="F43" s="4" t="str">
        <x:v>相交线与平行线</x:v>
      </x:c>
      <x:c r="G43" s="4" t="n">
        <x:v>7.4</x:v>
      </x:c>
      <x:c r="H43" s="4" t="str">
        <x:v>平移的概念、性质与作图</x:v>
      </x:c>
      <x:c r="I43" s="14" t="str">
        <x:v>已安排</x:v>
      </x:c>
      <x:c r="J43" s="4" t="str">
        <x:v>以当前教材PDF为准；后续逐课引用时复核题号、图号与数据</x:v>
      </x:c>
    </x:row>
    <x:row r="44" ht="34" customHeight="1">
      <x:c r="A44" s="11" t="n">
        <x:v>30</x:v>
      </x:c>
      <x:c r="B44" s="11" t="n">
        <x:v>37</x:v>
      </x:c>
      <x:c r="C44" s="4" t="str">
        <x:v>正文/题目</x:v>
      </x:c>
      <x:c r="D44" s="4" t="str">
        <x:v>本页全部正文、图表与题目</x:v>
      </x:c>
      <x:c r="E44" s="10" t="str">
        <x:v>C07-L11</x:v>
      </x:c>
      <x:c r="F44" s="4" t="str">
        <x:v>相交线与平行线</x:v>
      </x:c>
      <x:c r="G44" s="4" t="str">
        <x:v>7.4-探究与发现</x:v>
      </x:c>
      <x:c r="H44" s="4" t="str">
        <x:v>利用平移设计图案</x:v>
      </x:c>
      <x:c r="I44" s="14" t="str">
        <x:v>已安排</x:v>
      </x:c>
      <x:c r="J44" s="4" t="str">
        <x:v>以当前教材PDF为准；后续逐课引用时复核题号、图号与数据</x:v>
      </x:c>
    </x:row>
    <x:row r="45" ht="34" customHeight="1">
      <x:c r="A45" s="11" t="n">
        <x:v>31</x:v>
      </x:c>
      <x:c r="B45" s="11" t="n">
        <x:v>38</x:v>
      </x:c>
      <x:c r="C45" s="4" t="str">
        <x:v>正文/题目</x:v>
      </x:c>
      <x:c r="D45" s="4" t="str">
        <x:v>本页全部正文、图表与题目</x:v>
      </x:c>
      <x:c r="E45" s="10" t="str">
        <x:v>C07-L11</x:v>
      </x:c>
      <x:c r="F45" s="4" t="str">
        <x:v>相交线与平行线</x:v>
      </x:c>
      <x:c r="G45" s="4" t="str">
        <x:v>7.4-探究与发现</x:v>
      </x:c>
      <x:c r="H45" s="4" t="str">
        <x:v>利用平移设计图案</x:v>
      </x:c>
      <x:c r="I45" s="14" t="str">
        <x:v>已安排</x:v>
      </x:c>
      <x:c r="J45" s="4" t="str">
        <x:v>以当前教材PDF为准；后续逐课引用时复核题号、图号与数据</x:v>
      </x:c>
    </x:row>
    <x:row r="46" ht="34" customHeight="1">
      <x:c r="A46" s="11" t="n">
        <x:v>32</x:v>
      </x:c>
      <x:c r="B46" s="11" t="n">
        <x:v>39</x:v>
      </x:c>
      <x:c r="C46" s="4" t="str">
        <x:v>正文/题目</x:v>
      </x:c>
      <x:c r="D46" s="4" t="str">
        <x:v>本页全部正文、图表与题目</x:v>
      </x:c>
      <x:c r="E46" s="10" t="str">
        <x:v>C07-L12</x:v>
      </x:c>
      <x:c r="F46" s="4" t="str">
        <x:v>相交线与平行线</x:v>
      </x:c>
      <x:c r="G46" s="4" t="str">
        <x:v>数学活动</x:v>
      </x:c>
      <x:c r="H46" s="4" t="str">
        <x:v>相交线与平行线数学活动</x:v>
      </x:c>
      <x:c r="I46" s="14" t="str">
        <x:v>已安排</x:v>
      </x:c>
      <x:c r="J46" s="4" t="str">
        <x:v>以当前教材PDF为准；后续逐课引用时复核题号、图号与数据</x:v>
      </x:c>
    </x:row>
    <x:row r="47" ht="34" customHeight="1">
      <x:c r="A47" s="11" t="n">
        <x:v>33</x:v>
      </x:c>
      <x:c r="B47" s="11" t="n">
        <x:v>40</x:v>
      </x:c>
      <x:c r="C47" s="4" t="str">
        <x:v>正文/题目</x:v>
      </x:c>
      <x:c r="D47" s="4" t="str">
        <x:v>本页全部正文、图表与题目</x:v>
      </x:c>
      <x:c r="E47" s="10" t="str">
        <x:v>C07-L12</x:v>
      </x:c>
      <x:c r="F47" s="4" t="str">
        <x:v>相交线与平行线</x:v>
      </x:c>
      <x:c r="G47" s="4" t="str">
        <x:v>数学活动</x:v>
      </x:c>
      <x:c r="H47" s="4" t="str">
        <x:v>相交线与平行线数学活动</x:v>
      </x:c>
      <x:c r="I47" s="14" t="str">
        <x:v>已安排</x:v>
      </x:c>
      <x:c r="J47" s="4" t="str">
        <x:v>以当前教材PDF为准；后续逐课引用时复核题号、图号与数据</x:v>
      </x:c>
    </x:row>
    <x:row r="48" ht="34" customHeight="1">
      <x:c r="A48" s="11" t="n">
        <x:v>34</x:v>
      </x:c>
      <x:c r="B48" s="11" t="n">
        <x:v>41</x:v>
      </x:c>
      <x:c r="C48" s="4" t="str">
        <x:v>正文/题目</x:v>
      </x:c>
      <x:c r="D48" s="4" t="str">
        <x:v>本页全部正文、图表与题目</x:v>
      </x:c>
      <x:c r="E48" s="10" t="str">
        <x:v>C07-L13</x:v>
      </x:c>
      <x:c r="F48" s="4" t="str">
        <x:v>相交线与平行线</x:v>
      </x:c>
      <x:c r="G48" s="4" t="str">
        <x:v>小结与复习题7</x:v>
      </x:c>
      <x:c r="H48" s="4" t="str">
        <x:v>相交线与平行线章末复习</x:v>
      </x:c>
      <x:c r="I48" s="14" t="str">
        <x:v>已安排</x:v>
      </x:c>
      <x:c r="J48" s="4" t="str">
        <x:v>以当前教材PDF为准；后续逐课引用时复核题号、图号与数据</x:v>
      </x:c>
    </x:row>
    <x:row r="49" ht="34" customHeight="1">
      <x:c r="A49" s="11" t="n">
        <x:v>35</x:v>
      </x:c>
      <x:c r="B49" s="11" t="n">
        <x:v>42</x:v>
      </x:c>
      <x:c r="C49" s="4" t="str">
        <x:v>正文/题目</x:v>
      </x:c>
      <x:c r="D49" s="4" t="str">
        <x:v>本页全部正文、图表与题目</x:v>
      </x:c>
      <x:c r="E49" s="10" t="str">
        <x:v>C07-L13</x:v>
      </x:c>
      <x:c r="F49" s="4" t="str">
        <x:v>相交线与平行线</x:v>
      </x:c>
      <x:c r="G49" s="4" t="str">
        <x:v>小结与复习题7</x:v>
      </x:c>
      <x:c r="H49" s="4" t="str">
        <x:v>相交线与平行线章末复习</x:v>
      </x:c>
      <x:c r="I49" s="14" t="str">
        <x:v>已安排</x:v>
      </x:c>
      <x:c r="J49" s="4" t="str">
        <x:v>以当前教材PDF为准；后续逐课引用时复核题号、图号与数据</x:v>
      </x:c>
    </x:row>
    <x:row r="50" ht="34" customHeight="1">
      <x:c r="A50" s="11" t="n">
        <x:v>36</x:v>
      </x:c>
      <x:c r="B50" s="11" t="n">
        <x:v>43</x:v>
      </x:c>
      <x:c r="C50" s="4" t="str">
        <x:v>正文/题目</x:v>
      </x:c>
      <x:c r="D50" s="4" t="str">
        <x:v>本页全部正文、图表与题目</x:v>
      </x:c>
      <x:c r="E50" s="10" t="str">
        <x:v>C07-L13</x:v>
      </x:c>
      <x:c r="F50" s="4" t="str">
        <x:v>相交线与平行线</x:v>
      </x:c>
      <x:c r="G50" s="4" t="str">
        <x:v>小结与复习题7</x:v>
      </x:c>
      <x:c r="H50" s="4" t="str">
        <x:v>相交线与平行线章末复习</x:v>
      </x:c>
      <x:c r="I50" s="14" t="str">
        <x:v>已安排</x:v>
      </x:c>
      <x:c r="J50" s="4" t="str">
        <x:v>以当前教材PDF为准；后续逐课引用时复核题号、图号与数据</x:v>
      </x:c>
    </x:row>
    <x:row r="51" ht="34" customHeight="1">
      <x:c r="A51" s="11" t="n">
        <x:v>37</x:v>
      </x:c>
      <x:c r="B51" s="11" t="n">
        <x:v>44</x:v>
      </x:c>
      <x:c r="C51" s="4" t="str">
        <x:v>正文/题目</x:v>
      </x:c>
      <x:c r="D51" s="4" t="str">
        <x:v>本页全部正文、图表与题目</x:v>
      </x:c>
      <x:c r="E51" s="10" t="str">
        <x:v>C07-L13</x:v>
      </x:c>
      <x:c r="F51" s="4" t="str">
        <x:v>相交线与平行线</x:v>
      </x:c>
      <x:c r="G51" s="4" t="str">
        <x:v>小结与复习题7</x:v>
      </x:c>
      <x:c r="H51" s="4" t="str">
        <x:v>相交线与平行线章末复习</x:v>
      </x:c>
      <x:c r="I51" s="14" t="str">
        <x:v>已安排</x:v>
      </x:c>
      <x:c r="J51" s="4" t="str">
        <x:v>以当前教材PDF为准；后续逐课引用时复核题号、图号与数据</x:v>
      </x:c>
    </x:row>
    <x:row r="52" ht="34" customHeight="1">
      <x:c r="A52" s="11" t="n">
        <x:v>38</x:v>
      </x:c>
      <x:c r="B52" s="11" t="n">
        <x:v>45</x:v>
      </x:c>
      <x:c r="C52" s="4" t="str">
        <x:v>正文/题目</x:v>
      </x:c>
      <x:c r="D52" s="4" t="str">
        <x:v>本页全部正文、图表与题目</x:v>
      </x:c>
      <x:c r="E52" s="10" t="str">
        <x:v>C07-L13</x:v>
      </x:c>
      <x:c r="F52" s="4" t="str">
        <x:v>相交线与平行线</x:v>
      </x:c>
      <x:c r="G52" s="4" t="str">
        <x:v>小结与复习题7</x:v>
      </x:c>
      <x:c r="H52" s="4" t="str">
        <x:v>相交线与平行线章末复习</x:v>
      </x:c>
      <x:c r="I52" s="14" t="str">
        <x:v>已安排</x:v>
      </x:c>
      <x:c r="J52" s="4" t="str">
        <x:v>以当前教材PDF为准；后续逐课引用时复核题号、图号与数据</x:v>
      </x:c>
    </x:row>
    <x:row r="53" ht="34" customHeight="1">
      <x:c r="A53" s="11" t="n">
        <x:v>39</x:v>
      </x:c>
      <x:c r="B53" s="11" t="n">
        <x:v>46</x:v>
      </x:c>
      <x:c r="C53" s="4" t="str">
        <x:v>正文/题目</x:v>
      </x:c>
      <x:c r="D53" s="4" t="str">
        <x:v>本页全部正文、图表与题目</x:v>
      </x:c>
      <x:c r="E53" s="10" t="str">
        <x:v>C08-L01</x:v>
      </x:c>
      <x:c r="F53" s="4" t="str">
        <x:v>实数</x:v>
      </x:c>
      <x:c r="G53" s="4" t="n">
        <x:v>8.1</x:v>
      </x:c>
      <x:c r="H53" s="4" t="str">
        <x:v>平方根</x:v>
      </x:c>
      <x:c r="I53" s="14" t="str">
        <x:v>已安排</x:v>
      </x:c>
      <x:c r="J53" s="4" t="str">
        <x:v>以当前教材PDF为准；后续逐课引用时复核题号、图号与数据</x:v>
      </x:c>
    </x:row>
    <x:row r="54" ht="34" customHeight="1">
      <x:c r="A54" s="11" t="n">
        <x:v>40</x:v>
      </x:c>
      <x:c r="B54" s="11" t="n">
        <x:v>47</x:v>
      </x:c>
      <x:c r="C54" s="4" t="str">
        <x:v>整页覆盖</x:v>
      </x:c>
      <x:c r="D54" s="4" t="str">
        <x:v>本页全部正文、图表与题目</x:v>
      </x:c>
      <x:c r="E54" s="10" t="str">
        <x:v>C08-L01</x:v>
      </x:c>
      <x:c r="F54" s="4" t="str">
        <x:v>实数</x:v>
      </x:c>
      <x:c r="G54" s="4" t="n">
        <x:v>8.1</x:v>
      </x:c>
      <x:c r="H54" s="4" t="str">
        <x:v>平方根</x:v>
      </x:c>
      <x:c r="I54" s="14" t="str">
        <x:v>已安排</x:v>
      </x:c>
      <x:c r="J54" s="4" t="str">
        <x:v>以当前教材PDF为准；后续逐课引用时复核题号、图号与数据</x:v>
      </x:c>
    </x:row>
    <x:row r="55" ht="34" customHeight="1">
      <x:c r="A55" s="11" t="n">
        <x:v>40</x:v>
      </x:c>
      <x:c r="B55" s="11" t="n">
        <x:v>47</x:v>
      </x:c>
      <x:c r="C55" s="4" t="str">
        <x:v>节/小节</x:v>
      </x:c>
      <x:c r="D55" s="4" t="str">
        <x:v>8.1 平方根</x:v>
      </x:c>
      <x:c r="E55" s="10" t="str">
        <x:v>C08-L01</x:v>
      </x:c>
      <x:c r="F55" s="4" t="str">
        <x:v>实数</x:v>
      </x:c>
      <x:c r="G55" s="4" t="n">
        <x:v>8.1</x:v>
      </x:c>
      <x:c r="H55" s="4" t="str">
        <x:v>平方根</x:v>
      </x:c>
      <x:c r="I55" s="14" t="str">
        <x:v>已安排</x:v>
      </x:c>
      <x:c r="J55" s="4" t="str">
        <x:v>以当前教材PDF为准；后续逐课引用时复核题号、图号与数据</x:v>
      </x:c>
    </x:row>
    <x:row r="56" ht="34" customHeight="1">
      <x:c r="A56" s="11" t="n">
        <x:v>40</x:v>
      </x:c>
      <x:c r="B56" s="11" t="n">
        <x:v>47</x:v>
      </x:c>
      <x:c r="C56" s="4" t="str">
        <x:v>例题</x:v>
      </x:c>
      <x:c r="D56" s="4" t="str">
        <x:v>例1 求下列各数的平方根:</x:v>
      </x:c>
      <x:c r="E56" s="10" t="str">
        <x:v>C08-L01</x:v>
      </x:c>
      <x:c r="F56" s="4" t="str">
        <x:v>实数</x:v>
      </x:c>
      <x:c r="G56" s="4" t="n">
        <x:v>8.1</x:v>
      </x:c>
      <x:c r="H56" s="4" t="str">
        <x:v>平方根</x:v>
      </x:c>
      <x:c r="I56" s="14" t="str">
        <x:v>已安排</x:v>
      </x:c>
      <x:c r="J56" s="4" t="str">
        <x:v>以当前教材PDF为准；后续逐课引用时复核题号、图号与数据</x:v>
      </x:c>
    </x:row>
    <x:row r="57" ht="34" customHeight="1">
      <x:c r="A57" s="11" t="n">
        <x:v>41</x:v>
      </x:c>
      <x:c r="B57" s="11" t="n">
        <x:v>48</x:v>
      </x:c>
      <x:c r="C57" s="4" t="str">
        <x:v>整页覆盖</x:v>
      </x:c>
      <x:c r="D57" s="4" t="str">
        <x:v>本页全部正文、图表与题目</x:v>
      </x:c>
      <x:c r="E57" s="10" t="str">
        <x:v>C08-L01</x:v>
      </x:c>
      <x:c r="F57" s="4" t="str">
        <x:v>实数</x:v>
      </x:c>
      <x:c r="G57" s="4" t="n">
        <x:v>8.1</x:v>
      </x:c>
      <x:c r="H57" s="4" t="str">
        <x:v>平方根</x:v>
      </x:c>
      <x:c r="I57" s="14" t="str">
        <x:v>已安排</x:v>
      </x:c>
      <x:c r="J57" s="4" t="str">
        <x:v>以当前教材PDF为准；后续逐课引用时复核题号、图号与数据</x:v>
      </x:c>
    </x:row>
    <x:row r="58" ht="34" customHeight="1">
      <x:c r="A58" s="11" t="n">
        <x:v>41</x:v>
      </x:c>
      <x:c r="B58" s="11" t="n">
        <x:v>48</x:v>
      </x:c>
      <x:c r="C58" s="4" t="str">
        <x:v>例题</x:v>
      </x:c>
      <x:c r="D58" s="4" t="str">
        <x:v>例2 下列各数有平方根吗?如果有,求它的平方根;如果没有,说明</x:v>
      </x:c>
      <x:c r="E58" s="10" t="str">
        <x:v>C08-L01</x:v>
      </x:c>
      <x:c r="F58" s="4" t="str">
        <x:v>实数</x:v>
      </x:c>
      <x:c r="G58" s="4" t="n">
        <x:v>8.1</x:v>
      </x:c>
      <x:c r="H58" s="4" t="str">
        <x:v>平方根</x:v>
      </x:c>
      <x:c r="I58" s="14" t="str">
        <x:v>已安排</x:v>
      </x:c>
      <x:c r="J58" s="4" t="str">
        <x:v>以当前教材PDF为准；后续逐课引用时复核题号、图号与数据</x:v>
      </x:c>
    </x:row>
    <x:row r="59" ht="34" customHeight="1">
      <x:c r="A59" s="11" t="n">
        <x:v>42</x:v>
      </x:c>
      <x:c r="B59" s="11" t="n">
        <x:v>49</x:v>
      </x:c>
      <x:c r="C59" s="4" t="str">
        <x:v>整页覆盖</x:v>
      </x:c>
      <x:c r="D59" s="4" t="str">
        <x:v>本页全部正文、图表与题目</x:v>
      </x:c>
      <x:c r="E59" s="10" t="str">
        <x:v>C08-L02</x:v>
      </x:c>
      <x:c r="F59" s="4" t="str">
        <x:v>实数</x:v>
      </x:c>
      <x:c r="G59" s="4" t="n">
        <x:v>8.1</x:v>
      </x:c>
      <x:c r="H59" s="4" t="str">
        <x:v>算术平方根</x:v>
      </x:c>
      <x:c r="I59" s="14" t="str">
        <x:v>已安排</x:v>
      </x:c>
      <x:c r="J59" s="4" t="str">
        <x:v>以当前教材PDF为准；后续逐课引用时复核题号、图号与数据</x:v>
      </x:c>
    </x:row>
    <x:row r="60" ht="34" customHeight="1">
      <x:c r="A60" s="11" t="n">
        <x:v>42</x:v>
      </x:c>
      <x:c r="B60" s="11" t="n">
        <x:v>49</x:v>
      </x:c>
      <x:c r="C60" s="4" t="str">
        <x:v>例题</x:v>
      </x:c>
      <x:c r="D60" s="4" t="str">
        <x:v>例3 求下列各数的算术平方根:</x:v>
      </x:c>
      <x:c r="E60" s="10" t="str">
        <x:v>C08-L02</x:v>
      </x:c>
      <x:c r="F60" s="4" t="str">
        <x:v>实数</x:v>
      </x:c>
      <x:c r="G60" s="4" t="n">
        <x:v>8.1</x:v>
      </x:c>
      <x:c r="H60" s="4" t="str">
        <x:v>算术平方根</x:v>
      </x:c>
      <x:c r="I60" s="14" t="str">
        <x:v>已安排</x:v>
      </x:c>
      <x:c r="J60" s="4" t="str">
        <x:v>以当前教材PDF为准；后续逐课引用时复核题号、图号与数据</x:v>
      </x:c>
    </x:row>
    <x:row r="61" ht="34" customHeight="1">
      <x:c r="A61" s="11" t="n">
        <x:v>43</x:v>
      </x:c>
      <x:c r="B61" s="11" t="n">
        <x:v>50</x:v>
      </x:c>
      <x:c r="C61" s="4" t="str">
        <x:v>正文/题目</x:v>
      </x:c>
      <x:c r="D61" s="4" t="str">
        <x:v>本页全部正文、图表与题目</x:v>
      </x:c>
      <x:c r="E61" s="10" t="str">
        <x:v>C08-L02</x:v>
      </x:c>
      <x:c r="F61" s="4" t="str">
        <x:v>实数</x:v>
      </x:c>
      <x:c r="G61" s="4" t="n">
        <x:v>8.1</x:v>
      </x:c>
      <x:c r="H61" s="4" t="str">
        <x:v>算术平方根</x:v>
      </x:c>
      <x:c r="I61" s="14" t="str">
        <x:v>已安排</x:v>
      </x:c>
      <x:c r="J61" s="4" t="str">
        <x:v>以当前教材PDF为准；后续逐课引用时复核题号、图号与数据</x:v>
      </x:c>
    </x:row>
    <x:row r="62" ht="34" customHeight="1">
      <x:c r="A62" s="11" t="n">
        <x:v>44</x:v>
      </x:c>
      <x:c r="B62" s="11" t="n">
        <x:v>51</x:v>
      </x:c>
      <x:c r="C62" s="4" t="str">
        <x:v>整页覆盖</x:v>
      </x:c>
      <x:c r="D62" s="4" t="str">
        <x:v>本页全部正文、图表与题目</x:v>
      </x:c>
      <x:c r="E62" s="10" t="str">
        <x:v>C08-L03</x:v>
      </x:c>
      <x:c r="F62" s="4" t="str">
        <x:v>实数</x:v>
      </x:c>
      <x:c r="G62" s="4" t="n">
        <x:v>8.1</x:v>
      </x:c>
      <x:c r="H62" s="4" t="str">
        <x:v>算术平方根的估算与应用</x:v>
      </x:c>
      <x:c r="I62" s="14" t="str">
        <x:v>已安排</x:v>
      </x:c>
      <x:c r="J62" s="4" t="str">
        <x:v>以当前教材PDF为准；后续逐课引用时复核题号、图号与数据</x:v>
      </x:c>
    </x:row>
    <x:row r="63" ht="34" customHeight="1">
      <x:c r="A63" s="11" t="n">
        <x:v>44</x:v>
      </x:c>
      <x:c r="B63" s="11" t="n">
        <x:v>51</x:v>
      </x:c>
      <x:c r="C63" s="4" t="str">
        <x:v>例题</x:v>
      </x:c>
      <x:c r="D63" s="4" t="str">
        <x:v>例4 用计算器求下列各式的值:</x:v>
      </x:c>
      <x:c r="E63" s="10" t="str">
        <x:v>C08-L03</x:v>
      </x:c>
      <x:c r="F63" s="4" t="str">
        <x:v>实数</x:v>
      </x:c>
      <x:c r="G63" s="4" t="n">
        <x:v>8.1</x:v>
      </x:c>
      <x:c r="H63" s="4" t="str">
        <x:v>算术平方根的估算与应用</x:v>
      </x:c>
      <x:c r="I63" s="14" t="str">
        <x:v>已安排</x:v>
      </x:c>
      <x:c r="J63" s="4" t="str">
        <x:v>以当前教材PDF为准；后续逐课引用时复核题号、图号与数据</x:v>
      </x:c>
    </x:row>
    <x:row r="64" ht="34" customHeight="1">
      <x:c r="A64" s="11" t="n">
        <x:v>45</x:v>
      </x:c>
      <x:c r="B64" s="11" t="n">
        <x:v>52</x:v>
      </x:c>
      <x:c r="C64" s="4" t="str">
        <x:v>整页覆盖</x:v>
      </x:c>
      <x:c r="D64" s="4" t="str">
        <x:v>本页全部正文、图表与题目</x:v>
      </x:c>
      <x:c r="E64" s="10" t="str">
        <x:v>C08-L03</x:v>
      </x:c>
      <x:c r="F64" s="4" t="str">
        <x:v>实数</x:v>
      </x:c>
      <x:c r="G64" s="4" t="n">
        <x:v>8.1</x:v>
      </x:c>
      <x:c r="H64" s="4" t="str">
        <x:v>算术平方根的估算与应用</x:v>
      </x:c>
      <x:c r="I64" s="14" t="str">
        <x:v>已安排</x:v>
      </x:c>
      <x:c r="J64" s="4" t="str">
        <x:v>以当前教材PDF为准；后续逐课引用时复核题号、图号与数据</x:v>
      </x:c>
    </x:row>
    <x:row r="65" ht="34" customHeight="1">
      <x:c r="A65" s="11" t="n">
        <x:v>45</x:v>
      </x:c>
      <x:c r="B65" s="11" t="n">
        <x:v>52</x:v>
      </x:c>
      <x:c r="C65" s="4" t="str">
        <x:v>例题</x:v>
      </x:c>
      <x:c r="D65" s="4" t="str">
        <x:v>例5 小丽想用一块面积为400cm2</x:v>
      </x:c>
      <x:c r="E65" s="10" t="str">
        <x:v>C08-L03</x:v>
      </x:c>
      <x:c r="F65" s="4" t="str">
        <x:v>实数</x:v>
      </x:c>
      <x:c r="G65" s="4" t="n">
        <x:v>8.1</x:v>
      </x:c>
      <x:c r="H65" s="4" t="str">
        <x:v>算术平方根的估算与应用</x:v>
      </x:c>
      <x:c r="I65" s="14" t="str">
        <x:v>已安排</x:v>
      </x:c>
      <x:c r="J65" s="4" t="str">
        <x:v>以当前教材PDF为准；后续逐课引用时复核题号、图号与数据</x:v>
      </x:c>
    </x:row>
    <x:row r="66" ht="34" customHeight="1">
      <x:c r="A66" s="11" t="n">
        <x:v>46</x:v>
      </x:c>
      <x:c r="B66" s="11" t="n">
        <x:v>53</x:v>
      </x:c>
      <x:c r="C66" s="4" t="str">
        <x:v>正文/题目</x:v>
      </x:c>
      <x:c r="D66" s="4" t="str">
        <x:v>本页全部正文、图表与题目</x:v>
      </x:c>
      <x:c r="E66" s="10" t="str">
        <x:v>C08-L03</x:v>
      </x:c>
      <x:c r="F66" s="4" t="str">
        <x:v>实数</x:v>
      </x:c>
      <x:c r="G66" s="4" t="n">
        <x:v>8.1</x:v>
      </x:c>
      <x:c r="H66" s="4" t="str">
        <x:v>算术平方根的估算与应用</x:v>
      </x:c>
      <x:c r="I66" s="14" t="str">
        <x:v>已安排</x:v>
      </x:c>
      <x:c r="J66" s="4" t="str">
        <x:v>以当前教材PDF为准；后续逐课引用时复核题号、图号与数据</x:v>
      </x:c>
    </x:row>
    <x:row r="67" ht="34" customHeight="1">
      <x:c r="A67" s="11" t="n">
        <x:v>47</x:v>
      </x:c>
      <x:c r="B67" s="11" t="n">
        <x:v>54</x:v>
      </x:c>
      <x:c r="C67" s="4" t="str">
        <x:v>正文/题目</x:v>
      </x:c>
      <x:c r="D67" s="4" t="str">
        <x:v>本页全部正文、图表与题目</x:v>
      </x:c>
      <x:c r="E67" s="10" t="str">
        <x:v>C08-L03</x:v>
      </x:c>
      <x:c r="F67" s="4" t="str">
        <x:v>实数</x:v>
      </x:c>
      <x:c r="G67" s="4" t="n">
        <x:v>8.1</x:v>
      </x:c>
      <x:c r="H67" s="4" t="str">
        <x:v>算术平方根的估算与应用</x:v>
      </x:c>
      <x:c r="I67" s="14" t="str">
        <x:v>已安排</x:v>
      </x:c>
      <x:c r="J67" s="4" t="str">
        <x:v>以当前教材PDF为准；后续逐课引用时复核题号、图号与数据</x:v>
      </x:c>
    </x:row>
    <x:row r="68" ht="34" customHeight="1">
      <x:c r="A68" s="11" t="n">
        <x:v>48</x:v>
      </x:c>
      <x:c r="B68" s="11" t="n">
        <x:v>55</x:v>
      </x:c>
      <x:c r="C68" s="4" t="str">
        <x:v>整页覆盖</x:v>
      </x:c>
      <x:c r="D68" s="4" t="str">
        <x:v>本页全部正文、图表与题目</x:v>
      </x:c>
      <x:c r="E68" s="10" t="str">
        <x:v>C08-L04</x:v>
      </x:c>
      <x:c r="F68" s="4" t="str">
        <x:v>实数</x:v>
      </x:c>
      <x:c r="G68" s="4" t="n">
        <x:v>8.2</x:v>
      </x:c>
      <x:c r="H68" s="4" t="str">
        <x:v>立方根</x:v>
      </x:c>
      <x:c r="I68" s="14" t="str">
        <x:v>已安排</x:v>
      </x:c>
      <x:c r="J68" s="4" t="str">
        <x:v>以当前教材PDF为准；后续逐课引用时复核题号、图号与数据</x:v>
      </x:c>
    </x:row>
    <x:row r="69" ht="34" customHeight="1">
      <x:c r="A69" s="11" t="n">
        <x:v>48</x:v>
      </x:c>
      <x:c r="B69" s="11" t="n">
        <x:v>55</x:v>
      </x:c>
      <x:c r="C69" s="4" t="str">
        <x:v>节/小节</x:v>
      </x:c>
      <x:c r="D69" s="4" t="str">
        <x:v>8.2 立方根</x:v>
      </x:c>
      <x:c r="E69" s="10" t="str">
        <x:v>C08-L04</x:v>
      </x:c>
      <x:c r="F69" s="4" t="str">
        <x:v>实数</x:v>
      </x:c>
      <x:c r="G69" s="4" t="n">
        <x:v>8.2</x:v>
      </x:c>
      <x:c r="H69" s="4" t="str">
        <x:v>立方根</x:v>
      </x:c>
      <x:c r="I69" s="14" t="str">
        <x:v>已安排</x:v>
      </x:c>
      <x:c r="J69" s="4" t="str">
        <x:v>以当前教材PDF为准；后续逐课引用时复核题号、图号与数据</x:v>
      </x:c>
    </x:row>
    <x:row r="70" ht="34" customHeight="1">
      <x:c r="A70" s="11" t="n">
        <x:v>49</x:v>
      </x:c>
      <x:c r="B70" s="11" t="n">
        <x:v>56</x:v>
      </x:c>
      <x:c r="C70" s="4" t="str">
        <x:v>整页覆盖</x:v>
      </x:c>
      <x:c r="D70" s="4" t="str">
        <x:v>本页全部正文、图表与题目</x:v>
      </x:c>
      <x:c r="E70" s="10" t="str">
        <x:v>C08-L04</x:v>
      </x:c>
      <x:c r="F70" s="4" t="str">
        <x:v>实数</x:v>
      </x:c>
      <x:c r="G70" s="4" t="n">
        <x:v>8.2</x:v>
      </x:c>
      <x:c r="H70" s="4" t="str">
        <x:v>立方根</x:v>
      </x:c>
      <x:c r="I70" s="14" t="str">
        <x:v>已安排</x:v>
      </x:c>
      <x:c r="J70" s="4" t="str">
        <x:v>以当前教材PDF为准；后续逐课引用时复核题号、图号与数据</x:v>
      </x:c>
    </x:row>
    <x:row r="71" ht="34" customHeight="1">
      <x:c r="A71" s="11" t="n">
        <x:v>49</x:v>
      </x:c>
      <x:c r="B71" s="11" t="n">
        <x:v>56</x:v>
      </x:c>
      <x:c r="C71" s="4" t="str">
        <x:v>例题</x:v>
      </x:c>
      <x:c r="D71" s="4" t="str">
        <x:v>例1 求下列各数的立方根:</x:v>
      </x:c>
      <x:c r="E71" s="10" t="str">
        <x:v>C08-L04</x:v>
      </x:c>
      <x:c r="F71" s="4" t="str">
        <x:v>实数</x:v>
      </x:c>
      <x:c r="G71" s="4" t="n">
        <x:v>8.2</x:v>
      </x:c>
      <x:c r="H71" s="4" t="str">
        <x:v>立方根</x:v>
      </x:c>
      <x:c r="I71" s="14" t="str">
        <x:v>已安排</x:v>
      </x:c>
      <x:c r="J71" s="4" t="str">
        <x:v>以当前教材PDF为准；后续逐课引用时复核题号、图号与数据</x:v>
      </x:c>
    </x:row>
    <x:row r="72" ht="34" customHeight="1">
      <x:c r="A72" s="11" t="n">
        <x:v>50</x:v>
      </x:c>
      <x:c r="B72" s="11" t="n">
        <x:v>57</x:v>
      </x:c>
      <x:c r="C72" s="4" t="str">
        <x:v>整页覆盖</x:v>
      </x:c>
      <x:c r="D72" s="4" t="str">
        <x:v>本页全部正文、图表与题目</x:v>
      </x:c>
      <x:c r="E72" s="10" t="str">
        <x:v>C08-L04</x:v>
      </x:c>
      <x:c r="F72" s="4" t="str">
        <x:v>实数</x:v>
      </x:c>
      <x:c r="G72" s="4" t="n">
        <x:v>8.2</x:v>
      </x:c>
      <x:c r="H72" s="4" t="str">
        <x:v>立方根</x:v>
      </x:c>
      <x:c r="I72" s="14" t="str">
        <x:v>已安排</x:v>
      </x:c>
      <x:c r="J72" s="4" t="str">
        <x:v>以当前教材PDF为准；后续逐课引用时复核题号、图号与数据</x:v>
      </x:c>
    </x:row>
    <x:row r="73" ht="34" customHeight="1">
      <x:c r="A73" s="11" t="n">
        <x:v>50</x:v>
      </x:c>
      <x:c r="B73" s="11" t="n">
        <x:v>57</x:v>
      </x:c>
      <x:c r="C73" s="4" t="str">
        <x:v>例题</x:v>
      </x:c>
      <x:c r="D73" s="4" t="str">
        <x:v>例2 求下列各式的值:</x:v>
      </x:c>
      <x:c r="E73" s="10" t="str">
        <x:v>C08-L04</x:v>
      </x:c>
      <x:c r="F73" s="4" t="str">
        <x:v>实数</x:v>
      </x:c>
      <x:c r="G73" s="4" t="n">
        <x:v>8.2</x:v>
      </x:c>
      <x:c r="H73" s="4" t="str">
        <x:v>立方根</x:v>
      </x:c>
      <x:c r="I73" s="14" t="str">
        <x:v>已安排</x:v>
      </x:c>
      <x:c r="J73" s="4" t="str">
        <x:v>以当前教材PDF为准；后续逐课引用时复核题号、图号与数据</x:v>
      </x:c>
    </x:row>
    <x:row r="74" ht="34" customHeight="1">
      <x:c r="A74" s="11" t="n">
        <x:v>51</x:v>
      </x:c>
      <x:c r="B74" s="11" t="n">
        <x:v>58</x:v>
      </x:c>
      <x:c r="C74" s="4" t="str">
        <x:v>正文/题目</x:v>
      </x:c>
      <x:c r="D74" s="4" t="str">
        <x:v>本页全部正文、图表与题目</x:v>
      </x:c>
      <x:c r="E74" s="10" t="str">
        <x:v>C08-L04</x:v>
      </x:c>
      <x:c r="F74" s="4" t="str">
        <x:v>实数</x:v>
      </x:c>
      <x:c r="G74" s="4" t="n">
        <x:v>8.2</x:v>
      </x:c>
      <x:c r="H74" s="4" t="str">
        <x:v>立方根</x:v>
      </x:c>
      <x:c r="I74" s="14" t="str">
        <x:v>已安排</x:v>
      </x:c>
      <x:c r="J74" s="4" t="str">
        <x:v>以当前教材PDF为准；后续逐课引用时复核题号、图号与数据</x:v>
      </x:c>
    </x:row>
    <x:row r="75" ht="34" customHeight="1">
      <x:c r="A75" s="11" t="n">
        <x:v>52</x:v>
      </x:c>
      <x:c r="B75" s="11" t="n">
        <x:v>59</x:v>
      </x:c>
      <x:c r="C75" s="4" t="str">
        <x:v>整页覆盖</x:v>
      </x:c>
      <x:c r="D75" s="4" t="str">
        <x:v>本页全部正文、图表与题目</x:v>
      </x:c>
      <x:c r="E75" s="10" t="str">
        <x:v>C08-L05</x:v>
      </x:c>
      <x:c r="F75" s="4" t="str">
        <x:v>实数</x:v>
      </x:c>
      <x:c r="G75" s="4" t="n">
        <x:v>8.3</x:v>
      </x:c>
      <x:c r="H75" s="4" t="str">
        <x:v>无理数与实数</x:v>
      </x:c>
      <x:c r="I75" s="14" t="str">
        <x:v>已安排</x:v>
      </x:c>
      <x:c r="J75" s="4" t="str">
        <x:v>以当前教材PDF为准；后续逐课引用时复核题号、图号与数据</x:v>
      </x:c>
    </x:row>
    <x:row r="76" ht="34" customHeight="1">
      <x:c r="A76" s="11" t="n">
        <x:v>52</x:v>
      </x:c>
      <x:c r="B76" s="11" t="n">
        <x:v>59</x:v>
      </x:c>
      <x:c r="C76" s="4" t="str">
        <x:v>节/小节</x:v>
      </x:c>
      <x:c r="D76" s="4" t="str">
        <x:v>8.3 实数及其简单运算</x:v>
      </x:c>
      <x:c r="E76" s="10" t="str">
        <x:v>C08-L05</x:v>
      </x:c>
      <x:c r="F76" s="4" t="str">
        <x:v>实数</x:v>
      </x:c>
      <x:c r="G76" s="4" t="n">
        <x:v>8.3</x:v>
      </x:c>
      <x:c r="H76" s="4" t="str">
        <x:v>无理数与实数</x:v>
      </x:c>
      <x:c r="I76" s="14" t="str">
        <x:v>已安排</x:v>
      </x:c>
      <x:c r="J76" s="4" t="str">
        <x:v>以当前教材PDF为准；后续逐课引用时复核题号、图号与数据</x:v>
      </x:c>
    </x:row>
    <x:row r="77" ht="34" customHeight="1">
      <x:c r="A77" s="11" t="n">
        <x:v>53</x:v>
      </x:c>
      <x:c r="B77" s="11" t="n">
        <x:v>60</x:v>
      </x:c>
      <x:c r="C77" s="4" t="str">
        <x:v>正文/题目</x:v>
      </x:c>
      <x:c r="D77" s="4" t="str">
        <x:v>本页全部正文、图表与题目</x:v>
      </x:c>
      <x:c r="E77" s="10" t="str">
        <x:v>C08-L05</x:v>
      </x:c>
      <x:c r="F77" s="4" t="str">
        <x:v>实数</x:v>
      </x:c>
      <x:c r="G77" s="4" t="n">
        <x:v>8.3</x:v>
      </x:c>
      <x:c r="H77" s="4" t="str">
        <x:v>无理数与实数</x:v>
      </x:c>
      <x:c r="I77" s="14" t="str">
        <x:v>已安排</x:v>
      </x:c>
      <x:c r="J77" s="4" t="str">
        <x:v>以当前教材PDF为准；后续逐课引用时复核题号、图号与数据</x:v>
      </x:c>
    </x:row>
    <x:row r="78" ht="34" customHeight="1">
      <x:c r="A78" s="11" t="n">
        <x:v>54</x:v>
      </x:c>
      <x:c r="B78" s="11" t="n">
        <x:v>61</x:v>
      </x:c>
      <x:c r="C78" s="4" t="str">
        <x:v>正文/题目</x:v>
      </x:c>
      <x:c r="D78" s="4" t="str">
        <x:v>本页全部正文、图表与题目</x:v>
      </x:c>
      <x:c r="E78" s="10" t="str">
        <x:v>C08-L05</x:v>
      </x:c>
      <x:c r="F78" s="4" t="str">
        <x:v>实数</x:v>
      </x:c>
      <x:c r="G78" s="4" t="n">
        <x:v>8.3</x:v>
      </x:c>
      <x:c r="H78" s="4" t="str">
        <x:v>无理数与实数</x:v>
      </x:c>
      <x:c r="I78" s="14" t="str">
        <x:v>已安排</x:v>
      </x:c>
      <x:c r="J78" s="4" t="str">
        <x:v>以当前教材PDF为准；后续逐课引用时复核题号、图号与数据</x:v>
      </x:c>
    </x:row>
    <x:row r="79" ht="34" customHeight="1">
      <x:c r="A79" s="11" t="n">
        <x:v>55</x:v>
      </x:c>
      <x:c r="B79" s="11" t="n">
        <x:v>62</x:v>
      </x:c>
      <x:c r="C79" s="4" t="str">
        <x:v>整页覆盖</x:v>
      </x:c>
      <x:c r="D79" s="4" t="str">
        <x:v>本页全部正文、图表与题目</x:v>
      </x:c>
      <x:c r="E79" s="10" t="str">
        <x:v>C08-L06</x:v>
      </x:c>
      <x:c r="F79" s="4" t="str">
        <x:v>实数</x:v>
      </x:c>
      <x:c r="G79" s="4" t="n">
        <x:v>8.3</x:v>
      </x:c>
      <x:c r="H79" s="4" t="str">
        <x:v>实数的性质与简单运算</x:v>
      </x:c>
      <x:c r="I79" s="14" t="str">
        <x:v>已安排</x:v>
      </x:c>
      <x:c r="J79" s="4" t="str">
        <x:v>以当前教材PDF为准；后续逐课引用时复核题号、图号与数据</x:v>
      </x:c>
    </x:row>
    <x:row r="80" ht="34" customHeight="1">
      <x:c r="A80" s="11" t="n">
        <x:v>55</x:v>
      </x:c>
      <x:c r="B80" s="11" t="n">
        <x:v>62</x:v>
      </x:c>
      <x:c r="C80" s="4" t="str">
        <x:v>例题</x:v>
      </x:c>
      <x:c r="D80" s="4" t="str">
        <x:v>例1 (1)分别写出-槡6,π-3.14的相反数;</x:v>
      </x:c>
      <x:c r="E80" s="10" t="str">
        <x:v>C08-L06</x:v>
      </x:c>
      <x:c r="F80" s="4" t="str">
        <x:v>实数</x:v>
      </x:c>
      <x:c r="G80" s="4" t="n">
        <x:v>8.3</x:v>
      </x:c>
      <x:c r="H80" s="4" t="str">
        <x:v>实数的性质与简单运算</x:v>
      </x:c>
      <x:c r="I80" s="14" t="str">
        <x:v>已安排</x:v>
      </x:c>
      <x:c r="J80" s="4" t="str">
        <x:v>以当前教材PDF为准；后续逐课引用时复核题号、图号与数据</x:v>
      </x:c>
    </x:row>
    <x:row r="81" ht="34" customHeight="1">
      <x:c r="A81" s="11" t="n">
        <x:v>56</x:v>
      </x:c>
      <x:c r="B81" s="11" t="n">
        <x:v>63</x:v>
      </x:c>
      <x:c r="C81" s="4" t="str">
        <x:v>整页覆盖</x:v>
      </x:c>
      <x:c r="D81" s="4" t="str">
        <x:v>本页全部正文、图表与题目</x:v>
      </x:c>
      <x:c r="E81" s="10" t="str">
        <x:v>C08-L06</x:v>
      </x:c>
      <x:c r="F81" s="4" t="str">
        <x:v>实数</x:v>
      </x:c>
      <x:c r="G81" s="4" t="n">
        <x:v>8.3</x:v>
      </x:c>
      <x:c r="H81" s="4" t="str">
        <x:v>实数的性质与简单运算</x:v>
      </x:c>
      <x:c r="I81" s="14" t="str">
        <x:v>已安排</x:v>
      </x:c>
      <x:c r="J81" s="4" t="str">
        <x:v>以当前教材PDF为准；后续逐课引用时复核题号、图号与数据</x:v>
      </x:c>
    </x:row>
    <x:row r="82" ht="34" customHeight="1">
      <x:c r="A82" s="11" t="n">
        <x:v>56</x:v>
      </x:c>
      <x:c r="B82" s="11" t="n">
        <x:v>63</x:v>
      </x:c>
      <x:c r="C82" s="4" t="str">
        <x:v>例题</x:v>
      </x:c>
      <x:c r="D82" s="4" t="str">
        <x:v>例2 计算:</x:v>
      </x:c>
      <x:c r="E82" s="10" t="str">
        <x:v>C08-L06</x:v>
      </x:c>
      <x:c r="F82" s="4" t="str">
        <x:v>实数</x:v>
      </x:c>
      <x:c r="G82" s="4" t="n">
        <x:v>8.3</x:v>
      </x:c>
      <x:c r="H82" s="4" t="str">
        <x:v>实数的性质与简单运算</x:v>
      </x:c>
      <x:c r="I82" s="14" t="str">
        <x:v>已安排</x:v>
      </x:c>
      <x:c r="J82" s="4" t="str">
        <x:v>以当前教材PDF为准；后续逐课引用时复核题号、图号与数据</x:v>
      </x:c>
    </x:row>
    <x:row r="83" ht="34" customHeight="1">
      <x:c r="A83" s="11" t="n">
        <x:v>56</x:v>
      </x:c>
      <x:c r="B83" s="11" t="n">
        <x:v>63</x:v>
      </x:c>
      <x:c r="C83" s="4" t="str">
        <x:v>例题</x:v>
      </x:c>
      <x:c r="D83" s="4" t="str">
        <x:v>例3 计算 (结果保留小数点后两位):</x:v>
      </x:c>
      <x:c r="E83" s="10" t="str">
        <x:v>C08-L06</x:v>
      </x:c>
      <x:c r="F83" s="4" t="str">
        <x:v>实数</x:v>
      </x:c>
      <x:c r="G83" s="4" t="n">
        <x:v>8.3</x:v>
      </x:c>
      <x:c r="H83" s="4" t="str">
        <x:v>实数的性质与简单运算</x:v>
      </x:c>
      <x:c r="I83" s="14" t="str">
        <x:v>已安排</x:v>
      </x:c>
      <x:c r="J83" s="4" t="str">
        <x:v>以当前教材PDF为准；后续逐课引用时复核题号、图号与数据</x:v>
      </x:c>
    </x:row>
    <x:row r="84" ht="34" customHeight="1">
      <x:c r="A84" s="11" t="n">
        <x:v>57</x:v>
      </x:c>
      <x:c r="B84" s="11" t="n">
        <x:v>64</x:v>
      </x:c>
      <x:c r="C84" s="4" t="str">
        <x:v>正文/题目</x:v>
      </x:c>
      <x:c r="D84" s="4" t="str">
        <x:v>本页全部正文、图表与题目</x:v>
      </x:c>
      <x:c r="E84" s="10" t="str">
        <x:v>C08-L06</x:v>
      </x:c>
      <x:c r="F84" s="4" t="str">
        <x:v>实数</x:v>
      </x:c>
      <x:c r="G84" s="4" t="n">
        <x:v>8.3</x:v>
      </x:c>
      <x:c r="H84" s="4" t="str">
        <x:v>实数的性质与简单运算</x:v>
      </x:c>
      <x:c r="I84" s="14" t="str">
        <x:v>已安排</x:v>
      </x:c>
      <x:c r="J84" s="4" t="str">
        <x:v>以当前教材PDF为准；后续逐课引用时复核题号、图号与数据</x:v>
      </x:c>
    </x:row>
    <x:row r="85" ht="34" customHeight="1">
      <x:c r="A85" s="11" t="n">
        <x:v>58</x:v>
      </x:c>
      <x:c r="B85" s="11" t="n">
        <x:v>65</x:v>
      </x:c>
      <x:c r="C85" s="4" t="str">
        <x:v>正文/题目</x:v>
      </x:c>
      <x:c r="D85" s="4" t="str">
        <x:v>本页全部正文、图表与题目</x:v>
      </x:c>
      <x:c r="E85" s="10" t="str">
        <x:v>C08-L07</x:v>
      </x:c>
      <x:c r="F85" s="4" t="str">
        <x:v>实数</x:v>
      </x:c>
      <x:c r="G85" s="4" t="str">
        <x:v>阅读与思考、数学活动</x:v>
      </x:c>
      <x:c r="H85" s="4" t="str">
        <x:v>根号2的无理性与实数数学活动</x:v>
      </x:c>
      <x:c r="I85" s="14" t="str">
        <x:v>已安排</x:v>
      </x:c>
      <x:c r="J85" s="4" t="str">
        <x:v>以当前教材PDF为准；后续逐课引用时复核题号、图号与数据</x:v>
      </x:c>
    </x:row>
    <x:row r="86" ht="34" customHeight="1">
      <x:c r="A86" s="11" t="n">
        <x:v>59</x:v>
      </x:c>
      <x:c r="B86" s="11" t="n">
        <x:v>66</x:v>
      </x:c>
      <x:c r="C86" s="4" t="str">
        <x:v>正文/题目</x:v>
      </x:c>
      <x:c r="D86" s="4" t="str">
        <x:v>本页全部正文、图表与题目</x:v>
      </x:c>
      <x:c r="E86" s="10" t="str">
        <x:v>C08-L07</x:v>
      </x:c>
      <x:c r="F86" s="4" t="str">
        <x:v>实数</x:v>
      </x:c>
      <x:c r="G86" s="4" t="str">
        <x:v>阅读与思考、数学活动</x:v>
      </x:c>
      <x:c r="H86" s="4" t="str">
        <x:v>根号2的无理性与实数数学活动</x:v>
      </x:c>
      <x:c r="I86" s="14" t="str">
        <x:v>已安排</x:v>
      </x:c>
      <x:c r="J86" s="4" t="str">
        <x:v>以当前教材PDF为准；后续逐课引用时复核题号、图号与数据</x:v>
      </x:c>
    </x:row>
    <x:row r="87" ht="34" customHeight="1">
      <x:c r="A87" s="11" t="n">
        <x:v>60</x:v>
      </x:c>
      <x:c r="B87" s="11" t="n">
        <x:v>67</x:v>
      </x:c>
      <x:c r="C87" s="4" t="str">
        <x:v>正文/题目</x:v>
      </x:c>
      <x:c r="D87" s="4" t="str">
        <x:v>本页全部正文、图表与题目</x:v>
      </x:c>
      <x:c r="E87" s="10" t="str">
        <x:v>C08-L08</x:v>
      </x:c>
      <x:c r="F87" s="4" t="str">
        <x:v>实数</x:v>
      </x:c>
      <x:c r="G87" s="4" t="str">
        <x:v>小结与复习题8</x:v>
      </x:c>
      <x:c r="H87" s="4" t="str">
        <x:v>实数章末复习</x:v>
      </x:c>
      <x:c r="I87" s="14" t="str">
        <x:v>已安排</x:v>
      </x:c>
      <x:c r="J87" s="4" t="str">
        <x:v>以当前教材PDF为准；后续逐课引用时复核题号、图号与数据</x:v>
      </x:c>
    </x:row>
    <x:row r="88" ht="34" customHeight="1">
      <x:c r="A88" s="11" t="n">
        <x:v>61</x:v>
      </x:c>
      <x:c r="B88" s="11" t="n">
        <x:v>68</x:v>
      </x:c>
      <x:c r="C88" s="4" t="str">
        <x:v>正文/题目</x:v>
      </x:c>
      <x:c r="D88" s="4" t="str">
        <x:v>本页全部正文、图表与题目</x:v>
      </x:c>
      <x:c r="E88" s="10" t="str">
        <x:v>C08-L08</x:v>
      </x:c>
      <x:c r="F88" s="4" t="str">
        <x:v>实数</x:v>
      </x:c>
      <x:c r="G88" s="4" t="str">
        <x:v>小结与复习题8</x:v>
      </x:c>
      <x:c r="H88" s="4" t="str">
        <x:v>实数章末复习</x:v>
      </x:c>
      <x:c r="I88" s="14" t="str">
        <x:v>已安排</x:v>
      </x:c>
      <x:c r="J88" s="4" t="str">
        <x:v>以当前教材PDF为准；后续逐课引用时复核题号、图号与数据</x:v>
      </x:c>
    </x:row>
    <x:row r="89" ht="34" customHeight="1">
      <x:c r="A89" s="11" t="n">
        <x:v>62</x:v>
      </x:c>
      <x:c r="B89" s="11" t="n">
        <x:v>69</x:v>
      </x:c>
      <x:c r="C89" s="4" t="str">
        <x:v>正文/题目</x:v>
      </x:c>
      <x:c r="D89" s="4" t="str">
        <x:v>本页全部正文、图表与题目</x:v>
      </x:c>
      <x:c r="E89" s="10" t="str">
        <x:v>C08-L08</x:v>
      </x:c>
      <x:c r="F89" s="4" t="str">
        <x:v>实数</x:v>
      </x:c>
      <x:c r="G89" s="4" t="str">
        <x:v>小结与复习题8</x:v>
      </x:c>
      <x:c r="H89" s="4" t="str">
        <x:v>实数章末复习</x:v>
      </x:c>
      <x:c r="I89" s="14" t="str">
        <x:v>已安排</x:v>
      </x:c>
      <x:c r="J89" s="4" t="str">
        <x:v>以当前教材PDF为准；后续逐课引用时复核题号、图号与数据</x:v>
      </x:c>
    </x:row>
    <x:row r="90" ht="34" customHeight="1">
      <x:c r="A90" s="11" t="n">
        <x:v>63</x:v>
      </x:c>
      <x:c r="B90" s="11" t="n">
        <x:v>70</x:v>
      </x:c>
      <x:c r="C90" s="4" t="str">
        <x:v>正文/题目</x:v>
      </x:c>
      <x:c r="D90" s="4" t="str">
        <x:v>本页全部正文、图表与题目</x:v>
      </x:c>
      <x:c r="E90" s="10" t="str">
        <x:v>C09-L01</x:v>
      </x:c>
      <x:c r="F90" s="4" t="str">
        <x:v>平面直角坐标系</x:v>
      </x:c>
      <x:c r="G90" s="4" t="n">
        <x:v>9.1</x:v>
      </x:c>
      <x:c r="H90" s="4" t="str">
        <x:v>平面直角坐标系与点的坐标</x:v>
      </x:c>
      <x:c r="I90" s="14" t="str">
        <x:v>已安排</x:v>
      </x:c>
      <x:c r="J90" s="4" t="str">
        <x:v>以当前教材PDF为准；后续逐课引用时复核题号、图号与数据</x:v>
      </x:c>
    </x:row>
    <x:row r="91" ht="34" customHeight="1">
      <x:c r="A91" s="11" t="n">
        <x:v>64</x:v>
      </x:c>
      <x:c r="B91" s="11" t="n">
        <x:v>71</x:v>
      </x:c>
      <x:c r="C91" s="4" t="str">
        <x:v>整页覆盖</x:v>
      </x:c>
      <x:c r="D91" s="4" t="str">
        <x:v>本页全部正文、图表与题目</x:v>
      </x:c>
      <x:c r="E91" s="10" t="str">
        <x:v>C09-L01</x:v>
      </x:c>
      <x:c r="F91" s="4" t="str">
        <x:v>平面直角坐标系</x:v>
      </x:c>
      <x:c r="G91" s="4" t="n">
        <x:v>9.1</x:v>
      </x:c>
      <x:c r="H91" s="4" t="str">
        <x:v>平面直角坐标系与点的坐标</x:v>
      </x:c>
      <x:c r="I91" s="14" t="str">
        <x:v>已安排</x:v>
      </x:c>
      <x:c r="J91" s="4" t="str">
        <x:v>以当前教材PDF为准；后续逐课引用时复核题号、图号与数据</x:v>
      </x:c>
    </x:row>
    <x:row r="92" ht="34" customHeight="1">
      <x:c r="A92" s="11" t="n">
        <x:v>64</x:v>
      </x:c>
      <x:c r="B92" s="11" t="n">
        <x:v>71</x:v>
      </x:c>
      <x:c r="C92" s="4" t="str">
        <x:v>节/小节</x:v>
      </x:c>
      <x:c r="D92" s="4" t="str">
        <x:v>9.1 用坐标描述平面内点的位置</x:v>
      </x:c>
      <x:c r="E92" s="10" t="str">
        <x:v>C09-L01</x:v>
      </x:c>
      <x:c r="F92" s="4" t="str">
        <x:v>平面直角坐标系</x:v>
      </x:c>
      <x:c r="G92" s="4" t="n">
        <x:v>9.1</x:v>
      </x:c>
      <x:c r="H92" s="4" t="str">
        <x:v>平面直角坐标系与点的坐标</x:v>
      </x:c>
      <x:c r="I92" s="14" t="str">
        <x:v>已安排</x:v>
      </x:c>
      <x:c r="J92" s="4" t="str">
        <x:v>以当前教材PDF为准；后续逐课引用时复核题号、图号与数据</x:v>
      </x:c>
    </x:row>
    <x:row r="93" ht="34" customHeight="1">
      <x:c r="A93" s="11" t="n">
        <x:v>65</x:v>
      </x:c>
      <x:c r="B93" s="11" t="n">
        <x:v>72</x:v>
      </x:c>
      <x:c r="C93" s="4" t="str">
        <x:v>整页覆盖</x:v>
      </x:c>
      <x:c r="D93" s="4" t="str">
        <x:v>本页全部正文、图表与题目</x:v>
      </x:c>
      <x:c r="E93" s="10" t="str">
        <x:v>C09-L01</x:v>
      </x:c>
      <x:c r="F93" s="4" t="str">
        <x:v>平面直角坐标系</x:v>
      </x:c>
      <x:c r="G93" s="4" t="n">
        <x:v>9.1</x:v>
      </x:c>
      <x:c r="H93" s="4" t="str">
        <x:v>平面直角坐标系与点的坐标</x:v>
      </x:c>
      <x:c r="I93" s="14" t="str">
        <x:v>已安排</x:v>
      </x:c>
      <x:c r="J93" s="4" t="str">
        <x:v>以当前教材PDF为准；后续逐课引用时复核题号、图号与数据</x:v>
      </x:c>
    </x:row>
    <x:row r="94" ht="34" customHeight="1">
      <x:c r="A94" s="11" t="n">
        <x:v>65</x:v>
      </x:c>
      <x:c r="B94" s="11" t="n">
        <x:v>72</x:v>
      </x:c>
      <x:c r="C94" s="4" t="str">
        <x:v>例题</x:v>
      </x:c>
      <x:c r="D94" s="4" t="str">
        <x:v>例1 在平面直角坐标系中描出下列各点:</x:v>
      </x:c>
      <x:c r="E94" s="10" t="str">
        <x:v>C09-L01</x:v>
      </x:c>
      <x:c r="F94" s="4" t="str">
        <x:v>平面直角坐标系</x:v>
      </x:c>
      <x:c r="G94" s="4" t="n">
        <x:v>9.1</x:v>
      </x:c>
      <x:c r="H94" s="4" t="str">
        <x:v>平面直角坐标系与点的坐标</x:v>
      </x:c>
      <x:c r="I94" s="14" t="str">
        <x:v>已安排</x:v>
      </x:c>
      <x:c r="J94" s="4" t="str">
        <x:v>以当前教材PDF为准；后续逐课引用时复核题号、图号与数据</x:v>
      </x:c>
    </x:row>
    <x:row r="95" ht="34" customHeight="1">
      <x:c r="A95" s="11" t="n">
        <x:v>66</x:v>
      </x:c>
      <x:c r="B95" s="11" t="n">
        <x:v>73</x:v>
      </x:c>
      <x:c r="C95" s="4" t="str">
        <x:v>正文/题目</x:v>
      </x:c>
      <x:c r="D95" s="4" t="str">
        <x:v>本页全部正文、图表与题目</x:v>
      </x:c>
      <x:c r="E95" s="10" t="str">
        <x:v>C09-L02</x:v>
      </x:c>
      <x:c r="F95" s="4" t="str">
        <x:v>平面直角坐标系</x:v>
      </x:c>
      <x:c r="G95" s="4" t="n">
        <x:v>9.1</x:v>
      </x:c>
      <x:c r="H95" s="4" t="str">
        <x:v>用坐标描述图形和位置</x:v>
      </x:c>
      <x:c r="I95" s="14" t="str">
        <x:v>已安排</x:v>
      </x:c>
      <x:c r="J95" s="4" t="str">
        <x:v>以当前教材PDF为准；后续逐课引用时复核题号、图号与数据</x:v>
      </x:c>
    </x:row>
    <x:row r="96" ht="34" customHeight="1">
      <x:c r="A96" s="11" t="n">
        <x:v>67</x:v>
      </x:c>
      <x:c r="B96" s="11" t="n">
        <x:v>74</x:v>
      </x:c>
      <x:c r="C96" s="4" t="str">
        <x:v>整页覆盖</x:v>
      </x:c>
      <x:c r="D96" s="4" t="str">
        <x:v>本页全部正文、图表与题目</x:v>
      </x:c>
      <x:c r="E96" s="10" t="str">
        <x:v>C09-L02</x:v>
      </x:c>
      <x:c r="F96" s="4" t="str">
        <x:v>平面直角坐标系</x:v>
      </x:c>
      <x:c r="G96" s="4" t="n">
        <x:v>9.1</x:v>
      </x:c>
      <x:c r="H96" s="4" t="str">
        <x:v>用坐标描述图形和位置</x:v>
      </x:c>
      <x:c r="I96" s="14" t="str">
        <x:v>已安排</x:v>
      </x:c>
      <x:c r="J96" s="4" t="str">
        <x:v>以当前教材PDF为准；后续逐课引用时复核题号、图号与数据</x:v>
      </x:c>
    </x:row>
    <x:row r="97" ht="34" customHeight="1">
      <x:c r="A97" s="11" t="n">
        <x:v>67</x:v>
      </x:c>
      <x:c r="B97" s="11" t="n">
        <x:v>74</x:v>
      </x:c>
      <x:c r="C97" s="4" t="str">
        <x:v>例题</x:v>
      </x:c>
      <x:c r="D97" s="4" t="str">
        <x:v>例2 在平面直角坐标系中,长方形犃犅犆犇的顶点坐标分别为犃(-3,2),</x:v>
      </x:c>
      <x:c r="E97" s="10" t="str">
        <x:v>C09-L02</x:v>
      </x:c>
      <x:c r="F97" s="4" t="str">
        <x:v>平面直角坐标系</x:v>
      </x:c>
      <x:c r="G97" s="4" t="n">
        <x:v>9.1</x:v>
      </x:c>
      <x:c r="H97" s="4" t="str">
        <x:v>用坐标描述图形和位置</x:v>
      </x:c>
      <x:c r="I97" s="14" t="str">
        <x:v>已安排</x:v>
      </x:c>
      <x:c r="J97" s="4" t="str">
        <x:v>以当前教材PDF为准；后续逐课引用时复核题号、图号与数据</x:v>
      </x:c>
    </x:row>
    <x:row r="98" ht="34" customHeight="1">
      <x:c r="A98" s="11" t="n">
        <x:v>68</x:v>
      </x:c>
      <x:c r="B98" s="11" t="n">
        <x:v>75</x:v>
      </x:c>
      <x:c r="C98" s="4" t="str">
        <x:v>正文/题目</x:v>
      </x:c>
      <x:c r="D98" s="4" t="str">
        <x:v>本页全部正文、图表与题目</x:v>
      </x:c>
      <x:c r="E98" s="10" t="str">
        <x:v>C09-L02</x:v>
      </x:c>
      <x:c r="F98" s="4" t="str">
        <x:v>平面直角坐标系</x:v>
      </x:c>
      <x:c r="G98" s="4" t="n">
        <x:v>9.1</x:v>
      </x:c>
      <x:c r="H98" s="4" t="str">
        <x:v>用坐标描述图形和位置</x:v>
      </x:c>
      <x:c r="I98" s="14" t="str">
        <x:v>已安排</x:v>
      </x:c>
      <x:c r="J98" s="4" t="str">
        <x:v>以当前教材PDF为准；后续逐课引用时复核题号、图号与数据</x:v>
      </x:c>
    </x:row>
    <x:row r="99" ht="34" customHeight="1">
      <x:c r="A99" s="11" t="n">
        <x:v>69</x:v>
      </x:c>
      <x:c r="B99" s="11" t="n">
        <x:v>76</x:v>
      </x:c>
      <x:c r="C99" s="4" t="str">
        <x:v>正文/题目</x:v>
      </x:c>
      <x:c r="D99" s="4" t="str">
        <x:v>本页全部正文、图表与题目</x:v>
      </x:c>
      <x:c r="E99" s="10" t="str">
        <x:v>C09-L02</x:v>
      </x:c>
      <x:c r="F99" s="4" t="str">
        <x:v>平面直角坐标系</x:v>
      </x:c>
      <x:c r="G99" s="4" t="n">
        <x:v>9.1</x:v>
      </x:c>
      <x:c r="H99" s="4" t="str">
        <x:v>用坐标描述图形和位置</x:v>
      </x:c>
      <x:c r="I99" s="14" t="str">
        <x:v>已安排</x:v>
      </x:c>
      <x:c r="J99" s="4" t="str">
        <x:v>以当前教材PDF为准；后续逐课引用时复核题号、图号与数据</x:v>
      </x:c>
    </x:row>
    <x:row r="100" ht="34" customHeight="1">
      <x:c r="A100" s="11" t="n">
        <x:v>70</x:v>
      </x:c>
      <x:c r="B100" s="11" t="n">
        <x:v>77</x:v>
      </x:c>
      <x:c r="C100" s="4" t="str">
        <x:v>正文/题目</x:v>
      </x:c>
      <x:c r="D100" s="4" t="str">
        <x:v>本页全部正文、图表与题目</x:v>
      </x:c>
      <x:c r="E100" s="10" t="str">
        <x:v>C09-L02</x:v>
      </x:c>
      <x:c r="F100" s="4" t="str">
        <x:v>平面直角坐标系</x:v>
      </x:c>
      <x:c r="G100" s="4" t="n">
        <x:v>9.1</x:v>
      </x:c>
      <x:c r="H100" s="4" t="str">
        <x:v>用坐标描述图形和位置</x:v>
      </x:c>
      <x:c r="I100" s="14" t="str">
        <x:v>已安排</x:v>
      </x:c>
      <x:c r="J100" s="4" t="str">
        <x:v>以当前教材PDF为准；后续逐课引用时复核题号、图号与数据</x:v>
      </x:c>
    </x:row>
    <x:row r="101" ht="34" customHeight="1">
      <x:c r="A101" s="11" t="n">
        <x:v>71</x:v>
      </x:c>
      <x:c r="B101" s="11" t="n">
        <x:v>78</x:v>
      </x:c>
      <x:c r="C101" s="4" t="str">
        <x:v>正文/题目</x:v>
      </x:c>
      <x:c r="D101" s="4" t="str">
        <x:v>本页全部正文、图表与题目</x:v>
      </x:c>
      <x:c r="E101" s="10" t="str">
        <x:v>C09-L02</x:v>
      </x:c>
      <x:c r="F101" s="4" t="str">
        <x:v>平面直角坐标系</x:v>
      </x:c>
      <x:c r="G101" s="4" t="n">
        <x:v>9.1</x:v>
      </x:c>
      <x:c r="H101" s="4" t="str">
        <x:v>用坐标描述图形和位置</x:v>
      </x:c>
      <x:c r="I101" s="14" t="str">
        <x:v>已安排</x:v>
      </x:c>
      <x:c r="J101" s="4" t="str">
        <x:v>以当前教材PDF为准；后续逐课引用时复核题号、图号与数据</x:v>
      </x:c>
    </x:row>
    <x:row r="102" ht="34" customHeight="1">
      <x:c r="A102" s="11" t="n">
        <x:v>72</x:v>
      </x:c>
      <x:c r="B102" s="11" t="n">
        <x:v>79</x:v>
      </x:c>
      <x:c r="C102" s="4" t="str">
        <x:v>整页覆盖</x:v>
      </x:c>
      <x:c r="D102" s="4" t="str">
        <x:v>本页全部正文、图表与题目</x:v>
      </x:c>
      <x:c r="E102" s="10" t="str">
        <x:v>C09-L03</x:v>
      </x:c>
      <x:c r="F102" s="4" t="str">
        <x:v>平面直角坐标系</x:v>
      </x:c>
      <x:c r="G102" s="4" t="n">
        <x:v>9.2</x:v>
      </x:c>
      <x:c r="H102" s="4" t="str">
        <x:v>用方向和距离描述位置</x:v>
      </x:c>
      <x:c r="I102" s="14" t="str">
        <x:v>已安排</x:v>
      </x:c>
      <x:c r="J102" s="4" t="str">
        <x:v>以当前教材PDF为准；后续逐课引用时复核题号、图号与数据</x:v>
      </x:c>
    </x:row>
    <x:row r="103" ht="34" customHeight="1">
      <x:c r="A103" s="11" t="n">
        <x:v>72</x:v>
      </x:c>
      <x:c r="B103" s="11" t="n">
        <x:v>79</x:v>
      </x:c>
      <x:c r="C103" s="4" t="str">
        <x:v>节/小节</x:v>
      </x:c>
      <x:c r="D103" s="4" t="str">
        <x:v>9.2 坐标方法的简单应用</x:v>
      </x:c>
      <x:c r="E103" s="10" t="str">
        <x:v>C09-L03</x:v>
      </x:c>
      <x:c r="F103" s="4" t="str">
        <x:v>平面直角坐标系</x:v>
      </x:c>
      <x:c r="G103" s="4" t="n">
        <x:v>9.2</x:v>
      </x:c>
      <x:c r="H103" s="4" t="str">
        <x:v>用方向和距离描述位置</x:v>
      </x:c>
      <x:c r="I103" s="14" t="str">
        <x:v>已安排</x:v>
      </x:c>
      <x:c r="J103" s="4" t="str">
        <x:v>以当前教材PDF为准；后续逐课引用时复核题号、图号与数据</x:v>
      </x:c>
    </x:row>
    <x:row r="104" ht="34" customHeight="1">
      <x:c r="A104" s="11" t="n">
        <x:v>73</x:v>
      </x:c>
      <x:c r="B104" s="11" t="n">
        <x:v>80</x:v>
      </x:c>
      <x:c r="C104" s="4" t="str">
        <x:v>整页覆盖</x:v>
      </x:c>
      <x:c r="D104" s="4" t="str">
        <x:v>本页全部正文、图表与题目</x:v>
      </x:c>
      <x:c r="E104" s="10" t="str">
        <x:v>C09-L03</x:v>
      </x:c>
      <x:c r="F104" s="4" t="str">
        <x:v>平面直角坐标系</x:v>
      </x:c>
      <x:c r="G104" s="4" t="n">
        <x:v>9.2</x:v>
      </x:c>
      <x:c r="H104" s="4" t="str">
        <x:v>用方向和距离描述位置</x:v>
      </x:c>
      <x:c r="I104" s="14" t="str">
        <x:v>已安排</x:v>
      </x:c>
      <x:c r="J104" s="4" t="str">
        <x:v>以当前教材PDF为准；后续逐课引用时复核题号、图号与数据</x:v>
      </x:c>
    </x:row>
    <x:row r="105" ht="34" customHeight="1">
      <x:c r="A105" s="11" t="n">
        <x:v>73</x:v>
      </x:c>
      <x:c r="B105" s="11" t="n">
        <x:v>80</x:v>
      </x:c>
      <x:c r="C105" s="4" t="str">
        <x:v>例题</x:v>
      </x:c>
      <x:c r="D105" s="4" t="str">
        <x:v>例1 某海警舰艇编队在巡航时,舰艇观察员观测到一座东西向的海岛,</x:v>
      </x:c>
      <x:c r="E105" s="10" t="str">
        <x:v>C09-L03</x:v>
      </x:c>
      <x:c r="F105" s="4" t="str">
        <x:v>平面直角坐标系</x:v>
      </x:c>
      <x:c r="G105" s="4" t="n">
        <x:v>9.2</x:v>
      </x:c>
      <x:c r="H105" s="4" t="str">
        <x:v>用方向和距离描述位置</x:v>
      </x:c>
      <x:c r="I105" s="14" t="str">
        <x:v>已安排</x:v>
      </x:c>
      <x:c r="J105" s="4" t="str">
        <x:v>以当前教材PDF为准；后续逐课引用时复核题号、图号与数据</x:v>
      </x:c>
    </x:row>
    <x:row r="106" ht="34" customHeight="1">
      <x:c r="A106" s="11" t="n">
        <x:v>74</x:v>
      </x:c>
      <x:c r="B106" s="11" t="n">
        <x:v>81</x:v>
      </x:c>
      <x:c r="C106" s="4" t="str">
        <x:v>正文/题目</x:v>
      </x:c>
      <x:c r="D106" s="4" t="str">
        <x:v>本页全部正文、图表与题目</x:v>
      </x:c>
      <x:c r="E106" s="10" t="str">
        <x:v>C09-L04</x:v>
      </x:c>
      <x:c r="F106" s="4" t="str">
        <x:v>平面直角坐标系</x:v>
      </x:c>
      <x:c r="G106" s="4" t="n">
        <x:v>9.2</x:v>
      </x:c>
      <x:c r="H106" s="4" t="str">
        <x:v>点的平移与坐标变化</x:v>
      </x:c>
      <x:c r="I106" s="14" t="str">
        <x:v>已安排</x:v>
      </x:c>
      <x:c r="J106" s="4" t="str">
        <x:v>以当前教材PDF为准；后续逐课引用时复核题号、图号与数据</x:v>
      </x:c>
    </x:row>
    <x:row r="107" ht="34" customHeight="1">
      <x:c r="A107" s="11" t="n">
        <x:v>75</x:v>
      </x:c>
      <x:c r="B107" s="11" t="n">
        <x:v>82</x:v>
      </x:c>
      <x:c r="C107" s="4" t="str">
        <x:v>正文/题目</x:v>
      </x:c>
      <x:c r="D107" s="4" t="str">
        <x:v>本页全部正文、图表与题目</x:v>
      </x:c>
      <x:c r="E107" s="10" t="str">
        <x:v>C09-L04</x:v>
      </x:c>
      <x:c r="F107" s="4" t="str">
        <x:v>平面直角坐标系</x:v>
      </x:c>
      <x:c r="G107" s="4" t="n">
        <x:v>9.2</x:v>
      </x:c>
      <x:c r="H107" s="4" t="str">
        <x:v>点的平移与坐标变化</x:v>
      </x:c>
      <x:c r="I107" s="14" t="str">
        <x:v>已安排</x:v>
      </x:c>
      <x:c r="J107" s="4" t="str">
        <x:v>以当前教材PDF为准；后续逐课引用时复核题号、图号与数据</x:v>
      </x:c>
    </x:row>
    <x:row r="108" ht="34" customHeight="1">
      <x:c r="A108" s="11" t="n">
        <x:v>76</x:v>
      </x:c>
      <x:c r="B108" s="11" t="n">
        <x:v>83</x:v>
      </x:c>
      <x:c r="C108" s="4" t="str">
        <x:v>整页覆盖</x:v>
      </x:c>
      <x:c r="D108" s="4" t="str">
        <x:v>本页全部正文、图表与题目</x:v>
      </x:c>
      <x:c r="E108" s="10" t="str">
        <x:v>C09-L04</x:v>
      </x:c>
      <x:c r="F108" s="4" t="str">
        <x:v>平面直角坐标系</x:v>
      </x:c>
      <x:c r="G108" s="4" t="n">
        <x:v>9.2</x:v>
      </x:c>
      <x:c r="H108" s="4" t="str">
        <x:v>点的平移与坐标变化</x:v>
      </x:c>
      <x:c r="I108" s="14" t="str">
        <x:v>已安排</x:v>
      </x:c>
      <x:c r="J108" s="4" t="str">
        <x:v>以当前教材PDF为准；后续逐课引用时复核题号、图号与数据</x:v>
      </x:c>
    </x:row>
    <x:row r="109" ht="34" customHeight="1">
      <x:c r="A109" s="11" t="n">
        <x:v>76</x:v>
      </x:c>
      <x:c r="B109" s="11" t="n">
        <x:v>83</x:v>
      </x:c>
      <x:c r="C109" s="4" t="str">
        <x:v>例题</x:v>
      </x:c>
      <x:c r="D109" s="4" t="str">
        <x:v>例2 (1)如图9.27,长方形犃′犅′犆′犇′</x:v>
      </x:c>
      <x:c r="E109" s="10" t="str">
        <x:v>C09-L04</x:v>
      </x:c>
      <x:c r="F109" s="4" t="str">
        <x:v>平面直角坐标系</x:v>
      </x:c>
      <x:c r="G109" s="4" t="n">
        <x:v>9.2</x:v>
      </x:c>
      <x:c r="H109" s="4" t="str">
        <x:v>点的平移与坐标变化</x:v>
      </x:c>
      <x:c r="I109" s="14" t="str">
        <x:v>已安排</x:v>
      </x:c>
      <x:c r="J109" s="4" t="str">
        <x:v>以当前教材PDF为准；后续逐课引用时复核题号、图号与数据</x:v>
      </x:c>
    </x:row>
    <x:row r="110" ht="34" customHeight="1">
      <x:c r="A110" s="11" t="n">
        <x:v>77</x:v>
      </x:c>
      <x:c r="B110" s="11" t="n">
        <x:v>84</x:v>
      </x:c>
      <x:c r="C110" s="4" t="str">
        <x:v>正文/题目</x:v>
      </x:c>
      <x:c r="D110" s="4" t="str">
        <x:v>本页全部正文、图表与题目</x:v>
      </x:c>
      <x:c r="E110" s="10" t="str">
        <x:v>C09-L05</x:v>
      </x:c>
      <x:c r="F110" s="4" t="str">
        <x:v>平面直角坐标系</x:v>
      </x:c>
      <x:c r="G110" s="4" t="n">
        <x:v>9.2</x:v>
      </x:c>
      <x:c r="H110" s="4" t="str">
        <x:v>坐标变化与图形平移</x:v>
      </x:c>
      <x:c r="I110" s="14" t="str">
        <x:v>已安排</x:v>
      </x:c>
      <x:c r="J110" s="4" t="str">
        <x:v>以当前教材PDF为准；后续逐课引用时复核题号、图号与数据</x:v>
      </x:c>
    </x:row>
    <x:row r="111" ht="34" customHeight="1">
      <x:c r="A111" s="11" t="n">
        <x:v>78</x:v>
      </x:c>
      <x:c r="B111" s="11" t="n">
        <x:v>85</x:v>
      </x:c>
      <x:c r="C111" s="4" t="str">
        <x:v>整页覆盖</x:v>
      </x:c>
      <x:c r="D111" s="4" t="str">
        <x:v>本页全部正文、图表与题目</x:v>
      </x:c>
      <x:c r="E111" s="10" t="str">
        <x:v>C09-L05</x:v>
      </x:c>
      <x:c r="F111" s="4" t="str">
        <x:v>平面直角坐标系</x:v>
      </x:c>
      <x:c r="G111" s="4" t="n">
        <x:v>9.2</x:v>
      </x:c>
      <x:c r="H111" s="4" t="str">
        <x:v>坐标变化与图形平移</x:v>
      </x:c>
      <x:c r="I111" s="14" t="str">
        <x:v>已安排</x:v>
      </x:c>
      <x:c r="J111" s="4" t="str">
        <x:v>以当前教材PDF为准；后续逐课引用时复核题号、图号与数据</x:v>
      </x:c>
    </x:row>
    <x:row r="112" ht="34" customHeight="1">
      <x:c r="A112" s="11" t="n">
        <x:v>78</x:v>
      </x:c>
      <x:c r="B112" s="11" t="n">
        <x:v>85</x:v>
      </x:c>
      <x:c r="C112" s="4" t="str">
        <x:v>例题</x:v>
      </x:c>
      <x:c r="D112" s="4" t="str">
        <x:v>例3 如图9.210,将三角形犃犅犆平移,得到三角形犃犅犆,其中任意一点</x:v>
      </x:c>
      <x:c r="E112" s="10" t="str">
        <x:v>C09-L05</x:v>
      </x:c>
      <x:c r="F112" s="4" t="str">
        <x:v>平面直角坐标系</x:v>
      </x:c>
      <x:c r="G112" s="4" t="n">
        <x:v>9.2</x:v>
      </x:c>
      <x:c r="H112" s="4" t="str">
        <x:v>坐标变化与图形平移</x:v>
      </x:c>
      <x:c r="I112" s="14" t="str">
        <x:v>已安排</x:v>
      </x:c>
      <x:c r="J112" s="4" t="str">
        <x:v>以当前教材PDF为准；后续逐课引用时复核题号、图号与数据</x:v>
      </x:c>
    </x:row>
    <x:row r="113" ht="34" customHeight="1">
      <x:c r="A113" s="11" t="n">
        <x:v>79</x:v>
      </x:c>
      <x:c r="B113" s="11" t="n">
        <x:v>86</x:v>
      </x:c>
      <x:c r="C113" s="4" t="str">
        <x:v>正文/题目</x:v>
      </x:c>
      <x:c r="D113" s="4" t="str">
        <x:v>本页全部正文、图表与题目</x:v>
      </x:c>
      <x:c r="E113" s="10" t="str">
        <x:v>C09-L05</x:v>
      </x:c>
      <x:c r="F113" s="4" t="str">
        <x:v>平面直角坐标系</x:v>
      </x:c>
      <x:c r="G113" s="4" t="n">
        <x:v>9.2</x:v>
      </x:c>
      <x:c r="H113" s="4" t="str">
        <x:v>坐标变化与图形平移</x:v>
      </x:c>
      <x:c r="I113" s="14" t="str">
        <x:v>已安排</x:v>
      </x:c>
      <x:c r="J113" s="4" t="str">
        <x:v>以当前教材PDF为准；后续逐课引用时复核题号、图号与数据</x:v>
      </x:c>
    </x:row>
    <x:row r="114" ht="34" customHeight="1">
      <x:c r="A114" s="11" t="n">
        <x:v>80</x:v>
      </x:c>
      <x:c r="B114" s="11" t="n">
        <x:v>87</x:v>
      </x:c>
      <x:c r="C114" s="4" t="str">
        <x:v>正文/题目</x:v>
      </x:c>
      <x:c r="D114" s="4" t="str">
        <x:v>本页全部正文、图表与题目</x:v>
      </x:c>
      <x:c r="E114" s="10" t="str">
        <x:v>C09-L05</x:v>
      </x:c>
      <x:c r="F114" s="4" t="str">
        <x:v>平面直角坐标系</x:v>
      </x:c>
      <x:c r="G114" s="4" t="n">
        <x:v>9.2</x:v>
      </x:c>
      <x:c r="H114" s="4" t="str">
        <x:v>坐标变化与图形平移</x:v>
      </x:c>
      <x:c r="I114" s="14" t="str">
        <x:v>已安排</x:v>
      </x:c>
      <x:c r="J114" s="4" t="str">
        <x:v>以当前教材PDF为准；后续逐课引用时复核题号、图号与数据</x:v>
      </x:c>
    </x:row>
    <x:row r="115" ht="34" customHeight="1">
      <x:c r="A115" s="11" t="n">
        <x:v>81</x:v>
      </x:c>
      <x:c r="B115" s="11" t="n">
        <x:v>88</x:v>
      </x:c>
      <x:c r="C115" s="4" t="str">
        <x:v>正文/题目</x:v>
      </x:c>
      <x:c r="D115" s="4" t="str">
        <x:v>本页全部正文、图表与题目</x:v>
      </x:c>
      <x:c r="E115" s="10" t="str">
        <x:v>C09-L05</x:v>
      </x:c>
      <x:c r="F115" s="4" t="str">
        <x:v>平面直角坐标系</x:v>
      </x:c>
      <x:c r="G115" s="4" t="n">
        <x:v>9.2</x:v>
      </x:c>
      <x:c r="H115" s="4" t="str">
        <x:v>坐标变化与图形平移</x:v>
      </x:c>
      <x:c r="I115" s="14" t="str">
        <x:v>已安排</x:v>
      </x:c>
      <x:c r="J115" s="4" t="str">
        <x:v>以当前教材PDF为准；后续逐课引用时复核题号、图号与数据</x:v>
      </x:c>
    </x:row>
    <x:row r="116" ht="34" customHeight="1">
      <x:c r="A116" s="11" t="n">
        <x:v>82</x:v>
      </x:c>
      <x:c r="B116" s="11" t="n">
        <x:v>89</x:v>
      </x:c>
      <x:c r="C116" s="4" t="str">
        <x:v>正文/题目</x:v>
      </x:c>
      <x:c r="D116" s="4" t="str">
        <x:v>本页全部正文、图表与题目</x:v>
      </x:c>
      <x:c r="E116" s="10" t="str">
        <x:v>C09-L06</x:v>
      </x:c>
      <x:c r="F116" s="4" t="str">
        <x:v>平面直角坐标系</x:v>
      </x:c>
      <x:c r="G116" s="4" t="str">
        <x:v>数学活动</x:v>
      </x:c>
      <x:c r="H116" s="4" t="str">
        <x:v>平面直角坐标系数学活动</x:v>
      </x:c>
      <x:c r="I116" s="14" t="str">
        <x:v>已安排</x:v>
      </x:c>
      <x:c r="J116" s="4" t="str">
        <x:v>以当前教材PDF为准；后续逐课引用时复核题号、图号与数据</x:v>
      </x:c>
    </x:row>
    <x:row r="117" ht="34" customHeight="1">
      <x:c r="A117" s="11" t="n">
        <x:v>83</x:v>
      </x:c>
      <x:c r="B117" s="11" t="n">
        <x:v>90</x:v>
      </x:c>
      <x:c r="C117" s="4" t="str">
        <x:v>正文/题目</x:v>
      </x:c>
      <x:c r="D117" s="4" t="str">
        <x:v>本页全部正文、图表与题目</x:v>
      </x:c>
      <x:c r="E117" s="10" t="str">
        <x:v>C09-L07</x:v>
      </x:c>
      <x:c r="F117" s="4" t="str">
        <x:v>平面直角坐标系</x:v>
      </x:c>
      <x:c r="G117" s="4" t="str">
        <x:v>小结与复习题9</x:v>
      </x:c>
      <x:c r="H117" s="4" t="str">
        <x:v>平面直角坐标系章末复习</x:v>
      </x:c>
      <x:c r="I117" s="14" t="str">
        <x:v>已安排</x:v>
      </x:c>
      <x:c r="J117" s="4" t="str">
        <x:v>以当前教材PDF为准；后续逐课引用时复核题号、图号与数据</x:v>
      </x:c>
    </x:row>
    <x:row r="118" ht="34" customHeight="1">
      <x:c r="A118" s="11" t="n">
        <x:v>84</x:v>
      </x:c>
      <x:c r="B118" s="11" t="n">
        <x:v>91</x:v>
      </x:c>
      <x:c r="C118" s="4" t="str">
        <x:v>正文/题目</x:v>
      </x:c>
      <x:c r="D118" s="4" t="str">
        <x:v>本页全部正文、图表与题目</x:v>
      </x:c>
      <x:c r="E118" s="10" t="str">
        <x:v>C09-L07</x:v>
      </x:c>
      <x:c r="F118" s="4" t="str">
        <x:v>平面直角坐标系</x:v>
      </x:c>
      <x:c r="G118" s="4" t="str">
        <x:v>小结与复习题9</x:v>
      </x:c>
      <x:c r="H118" s="4" t="str">
        <x:v>平面直角坐标系章末复习</x:v>
      </x:c>
      <x:c r="I118" s="14" t="str">
        <x:v>已安排</x:v>
      </x:c>
      <x:c r="J118" s="4" t="str">
        <x:v>以当前教材PDF为准；后续逐课引用时复核题号、图号与数据</x:v>
      </x:c>
    </x:row>
    <x:row r="119" ht="34" customHeight="1">
      <x:c r="A119" s="11" t="n">
        <x:v>85</x:v>
      </x:c>
      <x:c r="B119" s="11" t="n">
        <x:v>92</x:v>
      </x:c>
      <x:c r="C119" s="4" t="str">
        <x:v>正文/题目</x:v>
      </x:c>
      <x:c r="D119" s="4" t="str">
        <x:v>本页全部正文、图表与题目</x:v>
      </x:c>
      <x:c r="E119" s="10" t="str">
        <x:v>C09-L07</x:v>
      </x:c>
      <x:c r="F119" s="4" t="str">
        <x:v>平面直角坐标系</x:v>
      </x:c>
      <x:c r="G119" s="4" t="str">
        <x:v>小结与复习题9</x:v>
      </x:c>
      <x:c r="H119" s="4" t="str">
        <x:v>平面直角坐标系章末复习</x:v>
      </x:c>
      <x:c r="I119" s="14" t="str">
        <x:v>已安排</x:v>
      </x:c>
      <x:c r="J119" s="4" t="str">
        <x:v>以当前教材PDF为准；后续逐课引用时复核题号、图号与数据</x:v>
      </x:c>
    </x:row>
    <x:row r="120" ht="34" customHeight="1">
      <x:c r="A120" s="11" t="n">
        <x:v>86</x:v>
      </x:c>
      <x:c r="B120" s="11" t="n">
        <x:v>93</x:v>
      </x:c>
      <x:c r="C120" s="4" t="str">
        <x:v>正文/题目</x:v>
      </x:c>
      <x:c r="D120" s="4" t="str">
        <x:v>本页全部正文、图表与题目</x:v>
      </x:c>
      <x:c r="E120" s="10" t="str">
        <x:v>C09-L07</x:v>
      </x:c>
      <x:c r="F120" s="4" t="str">
        <x:v>平面直角坐标系</x:v>
      </x:c>
      <x:c r="G120" s="4" t="str">
        <x:v>小结与复习题9</x:v>
      </x:c>
      <x:c r="H120" s="4" t="str">
        <x:v>平面直角坐标系章末复习</x:v>
      </x:c>
      <x:c r="I120" s="14" t="str">
        <x:v>已安排</x:v>
      </x:c>
      <x:c r="J120" s="4" t="str">
        <x:v>以当前教材PDF为准；后续逐课引用时复核题号、图号与数据</x:v>
      </x:c>
    </x:row>
    <x:row r="121" ht="34" customHeight="1">
      <x:c r="A121" s="11" t="n">
        <x:v>87</x:v>
      </x:c>
      <x:c r="B121" s="11" t="n">
        <x:v>94</x:v>
      </x:c>
      <x:c r="C121" s="4" t="str">
        <x:v>正文/题目</x:v>
      </x:c>
      <x:c r="D121" s="4" t="str">
        <x:v>本页全部正文、图表与题目</x:v>
      </x:c>
      <x:c r="E121" s="10" t="str">
        <x:v>C10-L01</x:v>
      </x:c>
      <x:c r="F121" s="4" t="str">
        <x:v>二元一次方程组</x:v>
      </x:c>
      <x:c r="G121" s="4" t="n">
        <x:v>10.1</x:v>
      </x:c>
      <x:c r="H121" s="4" t="str">
        <x:v>二元一次方程组的概念</x:v>
      </x:c>
      <x:c r="I121" s="14" t="str">
        <x:v>已安排</x:v>
      </x:c>
      <x:c r="J121" s="4" t="str">
        <x:v>以当前教材PDF为准；后续逐课引用时复核题号、图号与数据</x:v>
      </x:c>
    </x:row>
    <x:row r="122" ht="34" customHeight="1">
      <x:c r="A122" s="11" t="n">
        <x:v>88</x:v>
      </x:c>
      <x:c r="B122" s="11" t="n">
        <x:v>95</x:v>
      </x:c>
      <x:c r="C122" s="4" t="str">
        <x:v>整页覆盖</x:v>
      </x:c>
      <x:c r="D122" s="4" t="str">
        <x:v>本页全部正文、图表与题目</x:v>
      </x:c>
      <x:c r="E122" s="10" t="str">
        <x:v>C10-L01</x:v>
      </x:c>
      <x:c r="F122" s="4" t="str">
        <x:v>二元一次方程组</x:v>
      </x:c>
      <x:c r="G122" s="4" t="n">
        <x:v>10.1</x:v>
      </x:c>
      <x:c r="H122" s="4" t="str">
        <x:v>二元一次方程组的概念</x:v>
      </x:c>
      <x:c r="I122" s="14" t="str">
        <x:v>已安排</x:v>
      </x:c>
      <x:c r="J122" s="4" t="str">
        <x:v>以当前教材PDF为准；后续逐课引用时复核题号、图号与数据</x:v>
      </x:c>
    </x:row>
    <x:row r="123" ht="34" customHeight="1">
      <x:c r="A123" s="11" t="n">
        <x:v>88</x:v>
      </x:c>
      <x:c r="B123" s="11" t="n">
        <x:v>95</x:v>
      </x:c>
      <x:c r="C123" s="4" t="str">
        <x:v>节/小节</x:v>
      </x:c>
      <x:c r="D123" s="4" t="str">
        <x:v>10.1 二元一次方程组的概念</x:v>
      </x:c>
      <x:c r="E123" s="10" t="str">
        <x:v>C10-L01</x:v>
      </x:c>
      <x:c r="F123" s="4" t="str">
        <x:v>二元一次方程组</x:v>
      </x:c>
      <x:c r="G123" s="4" t="n">
        <x:v>10.1</x:v>
      </x:c>
      <x:c r="H123" s="4" t="str">
        <x:v>二元一次方程组的概念</x:v>
      </x:c>
      <x:c r="I123" s="14" t="str">
        <x:v>已安排</x:v>
      </x:c>
      <x:c r="J123" s="4" t="str">
        <x:v>以当前教材PDF为准；后续逐课引用时复核题号、图号与数据</x:v>
      </x:c>
    </x:row>
    <x:row r="124" ht="34" customHeight="1">
      <x:c r="A124" s="11" t="n">
        <x:v>89</x:v>
      </x:c>
      <x:c r="B124" s="11" t="n">
        <x:v>96</x:v>
      </x:c>
      <x:c r="C124" s="4" t="str">
        <x:v>正文/题目</x:v>
      </x:c>
      <x:c r="D124" s="4" t="str">
        <x:v>本页全部正文、图表与题目</x:v>
      </x:c>
      <x:c r="E124" s="10" t="str">
        <x:v>C10-L01</x:v>
      </x:c>
      <x:c r="F124" s="4" t="str">
        <x:v>二元一次方程组</x:v>
      </x:c>
      <x:c r="G124" s="4" t="n">
        <x:v>10.1</x:v>
      </x:c>
      <x:c r="H124" s="4" t="str">
        <x:v>二元一次方程组的概念</x:v>
      </x:c>
      <x:c r="I124" s="14" t="str">
        <x:v>已安排</x:v>
      </x:c>
      <x:c r="J124" s="4" t="str">
        <x:v>以当前教材PDF为准；后续逐课引用时复核题号、图号与数据</x:v>
      </x:c>
    </x:row>
    <x:row r="125" ht="34" customHeight="1">
      <x:c r="A125" s="11" t="n">
        <x:v>90</x:v>
      </x:c>
      <x:c r="B125" s="11" t="n">
        <x:v>97</x:v>
      </x:c>
      <x:c r="C125" s="4" t="str">
        <x:v>正文/题目</x:v>
      </x:c>
      <x:c r="D125" s="4" t="str">
        <x:v>本页全部正文、图表与题目</x:v>
      </x:c>
      <x:c r="E125" s="10" t="str">
        <x:v>C10-L01</x:v>
      </x:c>
      <x:c r="F125" s="4" t="str">
        <x:v>二元一次方程组</x:v>
      </x:c>
      <x:c r="G125" s="4" t="n">
        <x:v>10.1</x:v>
      </x:c>
      <x:c r="H125" s="4" t="str">
        <x:v>二元一次方程组的概念</x:v>
      </x:c>
      <x:c r="I125" s="14" t="str">
        <x:v>已安排</x:v>
      </x:c>
      <x:c r="J125" s="4" t="str">
        <x:v>以当前教材PDF为准；后续逐课引用时复核题号、图号与数据</x:v>
      </x:c>
    </x:row>
    <x:row r="126" ht="34" customHeight="1">
      <x:c r="A126" s="11" t="n">
        <x:v>91</x:v>
      </x:c>
      <x:c r="B126" s="11" t="n">
        <x:v>98</x:v>
      </x:c>
      <x:c r="C126" s="4" t="str">
        <x:v>整页覆盖</x:v>
      </x:c>
      <x:c r="D126" s="4" t="str">
        <x:v>本页全部正文、图表与题目</x:v>
      </x:c>
      <x:c r="E126" s="10" t="str">
        <x:v>C10-L02</x:v>
      </x:c>
      <x:c r="F126" s="4" t="str">
        <x:v>二元一次方程组</x:v>
      </x:c>
      <x:c r="G126" s="4" t="str">
        <x:v>10.2.1</x:v>
      </x:c>
      <x:c r="H126" s="4" t="str">
        <x:v>代入消元法</x:v>
      </x:c>
      <x:c r="I126" s="14" t="str">
        <x:v>已安排</x:v>
      </x:c>
      <x:c r="J126" s="4" t="str">
        <x:v>以当前教材PDF为准；后续逐课引用时复核题号、图号与数据</x:v>
      </x:c>
    </x:row>
    <x:row r="127" ht="34" customHeight="1">
      <x:c r="A127" s="11" t="n">
        <x:v>91</x:v>
      </x:c>
      <x:c r="B127" s="11" t="n">
        <x:v>98</x:v>
      </x:c>
      <x:c r="C127" s="4" t="str">
        <x:v>节/小节</x:v>
      </x:c>
      <x:c r="D127" s="4" t="str">
        <x:v>10.2 消元———解二元一次方程组</x:v>
      </x:c>
      <x:c r="E127" s="10" t="str">
        <x:v>C10-L02</x:v>
      </x:c>
      <x:c r="F127" s="4" t="str">
        <x:v>二元一次方程组</x:v>
      </x:c>
      <x:c r="G127" s="4" t="str">
        <x:v>10.2.1</x:v>
      </x:c>
      <x:c r="H127" s="4" t="str">
        <x:v>代入消元法</x:v>
      </x:c>
      <x:c r="I127" s="14" t="str">
        <x:v>已安排</x:v>
      </x:c>
      <x:c r="J127" s="4" t="str">
        <x:v>以当前教材PDF为准；后续逐课引用时复核题号、图号与数据</x:v>
      </x:c>
    </x:row>
    <x:row r="128" ht="34" customHeight="1">
      <x:c r="A128" s="11" t="n">
        <x:v>92</x:v>
      </x:c>
      <x:c r="B128" s="11" t="n">
        <x:v>99</x:v>
      </x:c>
      <x:c r="C128" s="4" t="str">
        <x:v>整页覆盖</x:v>
      </x:c>
      <x:c r="D128" s="4" t="str">
        <x:v>本页全部正文、图表与题目</x:v>
      </x:c>
      <x:c r="E128" s="10" t="str">
        <x:v>C10-L02</x:v>
      </x:c>
      <x:c r="F128" s="4" t="str">
        <x:v>二元一次方程组</x:v>
      </x:c>
      <x:c r="G128" s="4" t="str">
        <x:v>10.2.1</x:v>
      </x:c>
      <x:c r="H128" s="4" t="str">
        <x:v>代入消元法</x:v>
      </x:c>
      <x:c r="I128" s="14" t="str">
        <x:v>已安排</x:v>
      </x:c>
      <x:c r="J128" s="4" t="str">
        <x:v>以当前教材PDF为准；后续逐课引用时复核题号、图号与数据</x:v>
      </x:c>
    </x:row>
    <x:row r="129" ht="34" customHeight="1">
      <x:c r="A129" s="11" t="n">
        <x:v>92</x:v>
      </x:c>
      <x:c r="B129" s="11" t="n">
        <x:v>99</x:v>
      </x:c>
      <x:c r="C129" s="4" t="str">
        <x:v>例题</x:v>
      </x:c>
      <x:c r="D129" s="4" t="str">
        <x:v>例1 用代入法解方程组</x:v>
      </x:c>
      <x:c r="E129" s="10" t="str">
        <x:v>C10-L02</x:v>
      </x:c>
      <x:c r="F129" s="4" t="str">
        <x:v>二元一次方程组</x:v>
      </x:c>
      <x:c r="G129" s="4" t="str">
        <x:v>10.2.1</x:v>
      </x:c>
      <x:c r="H129" s="4" t="str">
        <x:v>代入消元法</x:v>
      </x:c>
      <x:c r="I129" s="14" t="str">
        <x:v>已安排</x:v>
      </x:c>
      <x:c r="J129" s="4" t="str">
        <x:v>以当前教材PDF为准；后续逐课引用时复核题号、图号与数据</x:v>
      </x:c>
    </x:row>
    <x:row r="130" ht="34" customHeight="1">
      <x:c r="A130" s="11" t="n">
        <x:v>92</x:v>
      </x:c>
      <x:c r="B130" s="11" t="n">
        <x:v>99</x:v>
      </x:c>
      <x:c r="C130" s="4" t="str">
        <x:v>例题</x:v>
      </x:c>
      <x:c r="D130" s="4" t="str">
        <x:v>例2 用代入法解方程组</x:v>
      </x:c>
      <x:c r="E130" s="10" t="str">
        <x:v>C10-L02</x:v>
      </x:c>
      <x:c r="F130" s="4" t="str">
        <x:v>二元一次方程组</x:v>
      </x:c>
      <x:c r="G130" s="4" t="str">
        <x:v>10.2.1</x:v>
      </x:c>
      <x:c r="H130" s="4" t="str">
        <x:v>代入消元法</x:v>
      </x:c>
      <x:c r="I130" s="14" t="str">
        <x:v>已安排</x:v>
      </x:c>
      <x:c r="J130" s="4" t="str">
        <x:v>以当前教材PDF为准；后续逐课引用时复核题号、图号与数据</x:v>
      </x:c>
    </x:row>
    <x:row r="131" ht="34" customHeight="1">
      <x:c r="A131" s="11" t="n">
        <x:v>93</x:v>
      </x:c>
      <x:c r="B131" s="11" t="n">
        <x:v>100</x:v>
      </x:c>
      <x:c r="C131" s="4" t="str">
        <x:v>整页覆盖</x:v>
      </x:c>
      <x:c r="D131" s="4" t="str">
        <x:v>本页全部正文、图表与题目</x:v>
      </x:c>
      <x:c r="E131" s="10" t="str">
        <x:v>C10-L02</x:v>
      </x:c>
      <x:c r="F131" s="4" t="str">
        <x:v>二元一次方程组</x:v>
      </x:c>
      <x:c r="G131" s="4" t="str">
        <x:v>10.2.1</x:v>
      </x:c>
      <x:c r="H131" s="4" t="str">
        <x:v>代入消元法</x:v>
      </x:c>
      <x:c r="I131" s="14" t="str">
        <x:v>已安排</x:v>
      </x:c>
      <x:c r="J131" s="4" t="str">
        <x:v>以当前教材PDF为准；后续逐课引用时复核题号、图号与数据</x:v>
      </x:c>
    </x:row>
    <x:row r="132" ht="34" customHeight="1">
      <x:c r="A132" s="11" t="n">
        <x:v>93</x:v>
      </x:c>
      <x:c r="B132" s="11" t="n">
        <x:v>100</x:v>
      </x:c>
      <x:c r="C132" s="4" t="str">
        <x:v>例题</x:v>
      </x:c>
      <x:c r="D132" s="4" t="str">
        <x:v>例3 用代入法解方程组</x:v>
      </x:c>
      <x:c r="E132" s="10" t="str">
        <x:v>C10-L02</x:v>
      </x:c>
      <x:c r="F132" s="4" t="str">
        <x:v>二元一次方程组</x:v>
      </x:c>
      <x:c r="G132" s="4" t="str">
        <x:v>10.2.1</x:v>
      </x:c>
      <x:c r="H132" s="4" t="str">
        <x:v>代入消元法</x:v>
      </x:c>
      <x:c r="I132" s="14" t="str">
        <x:v>已安排</x:v>
      </x:c>
      <x:c r="J132" s="4" t="str">
        <x:v>以当前教材PDF为准；后续逐课引用时复核题号、图号与数据</x:v>
      </x:c>
    </x:row>
    <x:row r="133" ht="34" customHeight="1">
      <x:c r="A133" s="11" t="n">
        <x:v>94</x:v>
      </x:c>
      <x:c r="B133" s="11" t="n">
        <x:v>101</x:v>
      </x:c>
      <x:c r="C133" s="4" t="str">
        <x:v>整页覆盖</x:v>
      </x:c>
      <x:c r="D133" s="4" t="str">
        <x:v>本页全部正文、图表与题目</x:v>
      </x:c>
      <x:c r="E133" s="10" t="str">
        <x:v>C10-L02</x:v>
      </x:c>
      <x:c r="F133" s="4" t="str">
        <x:v>二元一次方程组</x:v>
      </x:c>
      <x:c r="G133" s="4" t="str">
        <x:v>10.2.1</x:v>
      </x:c>
      <x:c r="H133" s="4" t="str">
        <x:v>代入消元法</x:v>
      </x:c>
      <x:c r="I133" s="14" t="str">
        <x:v>已安排</x:v>
      </x:c>
      <x:c r="J133" s="4" t="str">
        <x:v>以当前教材PDF为准；后续逐课引用时复核题号、图号与数据</x:v>
      </x:c>
    </x:row>
    <x:row r="134" ht="34" customHeight="1">
      <x:c r="A134" s="11" t="n">
        <x:v>94</x:v>
      </x:c>
      <x:c r="B134" s="11" t="n">
        <x:v>101</x:v>
      </x:c>
      <x:c r="C134" s="4" t="str">
        <x:v>例题</x:v>
      </x:c>
      <x:c r="D134" s="4" t="str">
        <x:v>例4 快递员把货物送到客户手中称为送件,帮客户寄出货物称为揽件.某快</x:v>
      </x:c>
      <x:c r="E134" s="10" t="str">
        <x:v>C10-L02</x:v>
      </x:c>
      <x:c r="F134" s="4" t="str">
        <x:v>二元一次方程组</x:v>
      </x:c>
      <x:c r="G134" s="4" t="str">
        <x:v>10.2.1</x:v>
      </x:c>
      <x:c r="H134" s="4" t="str">
        <x:v>代入消元法</x:v>
      </x:c>
      <x:c r="I134" s="14" t="str">
        <x:v>已安排</x:v>
      </x:c>
      <x:c r="J134" s="4" t="str">
        <x:v>以当前教材PDF为准；后续逐课引用时复核题号、图号与数据</x:v>
      </x:c>
    </x:row>
    <x:row r="135" ht="34" customHeight="1">
      <x:c r="A135" s="11" t="n">
        <x:v>95</x:v>
      </x:c>
      <x:c r="B135" s="11" t="n">
        <x:v>102</x:v>
      </x:c>
      <x:c r="C135" s="4" t="str">
        <x:v>正文/题目</x:v>
      </x:c>
      <x:c r="D135" s="4" t="str">
        <x:v>本页全部正文、图表与题目</x:v>
      </x:c>
      <x:c r="E135" s="10" t="str">
        <x:v>C10-L03</x:v>
      </x:c>
      <x:c r="F135" s="4" t="str">
        <x:v>二元一次方程组</x:v>
      </x:c>
      <x:c r="G135" s="4" t="str">
        <x:v>10.2.2</x:v>
      </x:c>
      <x:c r="H135" s="4" t="str">
        <x:v>加减消元法的基本应用</x:v>
      </x:c>
      <x:c r="I135" s="14" t="str">
        <x:v>已安排</x:v>
      </x:c>
      <x:c r="J135" s="4" t="str">
        <x:v>以当前教材PDF为准；后续逐课引用时复核题号、图号与数据</x:v>
      </x:c>
    </x:row>
    <x:row r="136" ht="34" customHeight="1">
      <x:c r="A136" s="11" t="n">
        <x:v>96</x:v>
      </x:c>
      <x:c r="B136" s="11" t="n">
        <x:v>103</x:v>
      </x:c>
      <x:c r="C136" s="4" t="str">
        <x:v>整页覆盖</x:v>
      </x:c>
      <x:c r="D136" s="4" t="str">
        <x:v>本页全部正文、图表与题目</x:v>
      </x:c>
      <x:c r="E136" s="10" t="str">
        <x:v>C10-L03</x:v>
      </x:c>
      <x:c r="F136" s="4" t="str">
        <x:v>二元一次方程组</x:v>
      </x:c>
      <x:c r="G136" s="4" t="str">
        <x:v>10.2.2</x:v>
      </x:c>
      <x:c r="H136" s="4" t="str">
        <x:v>加减消元法的基本应用</x:v>
      </x:c>
      <x:c r="I136" s="14" t="str">
        <x:v>已安排</x:v>
      </x:c>
      <x:c r="J136" s="4" t="str">
        <x:v>以当前教材PDF为准；后续逐课引用时复核题号、图号与数据</x:v>
      </x:c>
    </x:row>
    <x:row r="137" ht="34" customHeight="1">
      <x:c r="A137" s="11" t="n">
        <x:v>96</x:v>
      </x:c>
      <x:c r="B137" s="11" t="n">
        <x:v>103</x:v>
      </x:c>
      <x:c r="C137" s="4" t="str">
        <x:v>例题</x:v>
      </x:c>
      <x:c r="D137" s="4" t="str">
        <x:v>例5 用加减法解方程组</x:v>
      </x:c>
      <x:c r="E137" s="10" t="str">
        <x:v>C10-L03</x:v>
      </x:c>
      <x:c r="F137" s="4" t="str">
        <x:v>二元一次方程组</x:v>
      </x:c>
      <x:c r="G137" s="4" t="str">
        <x:v>10.2.2</x:v>
      </x:c>
      <x:c r="H137" s="4" t="str">
        <x:v>加减消元法的基本应用</x:v>
      </x:c>
      <x:c r="I137" s="14" t="str">
        <x:v>已安排</x:v>
      </x:c>
      <x:c r="J137" s="4" t="str">
        <x:v>以当前教材PDF为准；后续逐课引用时复核题号、图号与数据</x:v>
      </x:c>
    </x:row>
    <x:row r="138" ht="34" customHeight="1">
      <x:c r="A138" s="11" t="n">
        <x:v>96</x:v>
      </x:c>
      <x:c r="B138" s="11" t="n">
        <x:v>103</x:v>
      </x:c>
      <x:c r="C138" s="4" t="str">
        <x:v>例题</x:v>
      </x:c>
      <x:c r="D138" s="4" t="str">
        <x:v>例6 用加减法解方程组</x:v>
      </x:c>
      <x:c r="E138" s="10" t="str">
        <x:v>C10-L03</x:v>
      </x:c>
      <x:c r="F138" s="4" t="str">
        <x:v>二元一次方程组</x:v>
      </x:c>
      <x:c r="G138" s="4" t="str">
        <x:v>10.2.2</x:v>
      </x:c>
      <x:c r="H138" s="4" t="str">
        <x:v>加减消元法的基本应用</x:v>
      </x:c>
      <x:c r="I138" s="14" t="str">
        <x:v>已安排</x:v>
      </x:c>
      <x:c r="J138" s="4" t="str">
        <x:v>以当前教材PDF为准；后续逐课引用时复核题号、图号与数据</x:v>
      </x:c>
    </x:row>
    <x:row r="139" ht="34" customHeight="1">
      <x:c r="A139" s="11" t="n">
        <x:v>97</x:v>
      </x:c>
      <x:c r="B139" s="11" t="n">
        <x:v>104</x:v>
      </x:c>
      <x:c r="C139" s="4" t="str">
        <x:v>整页覆盖</x:v>
      </x:c>
      <x:c r="D139" s="4" t="str">
        <x:v>本页全部正文、图表与题目</x:v>
      </x:c>
      <x:c r="E139" s="10" t="str">
        <x:v>C10-L04</x:v>
      </x:c>
      <x:c r="F139" s="4" t="str">
        <x:v>二元一次方程组</x:v>
      </x:c>
      <x:c r="G139" s="4" t="str">
        <x:v>10.2.2</x:v>
      </x:c>
      <x:c r="H139" s="4" t="str">
        <x:v>加减消元法的灵活应用</x:v>
      </x:c>
      <x:c r="I139" s="14" t="str">
        <x:v>已安排</x:v>
      </x:c>
      <x:c r="J139" s="4" t="str">
        <x:v>以当前教材PDF为准；后续逐课引用时复核题号、图号与数据</x:v>
      </x:c>
    </x:row>
    <x:row r="140" ht="34" customHeight="1">
      <x:c r="A140" s="11" t="n">
        <x:v>97</x:v>
      </x:c>
      <x:c r="B140" s="11" t="n">
        <x:v>104</x:v>
      </x:c>
      <x:c r="C140" s="4" t="str">
        <x:v>例题</x:v>
      </x:c>
      <x:c r="D140" s="4" t="str">
        <x:v>例7 我国古代数学著作 《九章算术》中记载了这样一道题:</x:v>
      </x:c>
      <x:c r="E140" s="10" t="str">
        <x:v>C10-L04</x:v>
      </x:c>
      <x:c r="F140" s="4" t="str">
        <x:v>二元一次方程组</x:v>
      </x:c>
      <x:c r="G140" s="4" t="str">
        <x:v>10.2.2</x:v>
      </x:c>
      <x:c r="H140" s="4" t="str">
        <x:v>加减消元法的灵活应用</x:v>
      </x:c>
      <x:c r="I140" s="14" t="str">
        <x:v>已安排</x:v>
      </x:c>
      <x:c r="J140" s="4" t="str">
        <x:v>以当前教材PDF为准；后续逐课引用时复核题号、图号与数据</x:v>
      </x:c>
    </x:row>
    <x:row r="141" ht="34" customHeight="1">
      <x:c r="A141" s="11" t="n">
        <x:v>98</x:v>
      </x:c>
      <x:c r="B141" s="11" t="n">
        <x:v>105</x:v>
      </x:c>
      <x:c r="C141" s="4" t="str">
        <x:v>正文/题目</x:v>
      </x:c>
      <x:c r="D141" s="4" t="str">
        <x:v>本页全部正文、图表与题目</x:v>
      </x:c>
      <x:c r="E141" s="10" t="str">
        <x:v>C10-L04</x:v>
      </x:c>
      <x:c r="F141" s="4" t="str">
        <x:v>二元一次方程组</x:v>
      </x:c>
      <x:c r="G141" s="4" t="str">
        <x:v>10.2.2</x:v>
      </x:c>
      <x:c r="H141" s="4" t="str">
        <x:v>加减消元法的灵活应用</x:v>
      </x:c>
      <x:c r="I141" s="14" t="str">
        <x:v>已安排</x:v>
      </x:c>
      <x:c r="J141" s="4" t="str">
        <x:v>以当前教材PDF为准；后续逐课引用时复核题号、图号与数据</x:v>
      </x:c>
    </x:row>
    <x:row r="142" ht="34" customHeight="1">
      <x:c r="A142" s="11" t="n">
        <x:v>99</x:v>
      </x:c>
      <x:c r="B142" s="11" t="n">
        <x:v>106</x:v>
      </x:c>
      <x:c r="C142" s="4" t="str">
        <x:v>正文/题目</x:v>
      </x:c>
      <x:c r="D142" s="4" t="str">
        <x:v>本页全部正文、图表与题目</x:v>
      </x:c>
      <x:c r="E142" s="10" t="str">
        <x:v>C10-L04</x:v>
      </x:c>
      <x:c r="F142" s="4" t="str">
        <x:v>二元一次方程组</x:v>
      </x:c>
      <x:c r="G142" s="4" t="str">
        <x:v>10.2.2</x:v>
      </x:c>
      <x:c r="H142" s="4" t="str">
        <x:v>加减消元法的灵活应用</x:v>
      </x:c>
      <x:c r="I142" s="14" t="str">
        <x:v>已安排</x:v>
      </x:c>
      <x:c r="J142" s="4" t="str">
        <x:v>以当前教材PDF为准；后续逐课引用时复核题号、图号与数据</x:v>
      </x:c>
    </x:row>
    <x:row r="143" ht="34" customHeight="1">
      <x:c r="A143" s="11" t="n">
        <x:v>100</x:v>
      </x:c>
      <x:c r="B143" s="11" t="n">
        <x:v>107</x:v>
      </x:c>
      <x:c r="C143" s="4" t="str">
        <x:v>正文/题目</x:v>
      </x:c>
      <x:c r="D143" s="4" t="str">
        <x:v>本页全部正文、图表与题目</x:v>
      </x:c>
      <x:c r="E143" s="10" t="str">
        <x:v>C10-L04</x:v>
      </x:c>
      <x:c r="F143" s="4" t="str">
        <x:v>二元一次方程组</x:v>
      </x:c>
      <x:c r="G143" s="4" t="str">
        <x:v>10.2.2</x:v>
      </x:c>
      <x:c r="H143" s="4" t="str">
        <x:v>加减消元法的灵活应用</x:v>
      </x:c>
      <x:c r="I143" s="14" t="str">
        <x:v>已安排</x:v>
      </x:c>
      <x:c r="J143" s="4" t="str">
        <x:v>以当前教材PDF为准；后续逐课引用时复核题号、图号与数据</x:v>
      </x:c>
    </x:row>
    <x:row r="144" ht="34" customHeight="1">
      <x:c r="A144" s="11" t="n">
        <x:v>101</x:v>
      </x:c>
      <x:c r="B144" s="11" t="n">
        <x:v>108</x:v>
      </x:c>
      <x:c r="C144" s="4" t="str">
        <x:v>整页覆盖</x:v>
      </x:c>
      <x:c r="D144" s="4" t="str">
        <x:v>本页全部正文、图表与题目</x:v>
      </x:c>
      <x:c r="E144" s="10" t="str">
        <x:v>C10-L05</x:v>
      </x:c>
      <x:c r="F144" s="4" t="str">
        <x:v>二元一次方程组</x:v>
      </x:c>
      <x:c r="G144" s="4" t="n">
        <x:v>10.3</x:v>
      </x:c>
      <x:c r="H144" s="4" t="str">
        <x:v>实际问题与二元一次方程组（一）</x:v>
      </x:c>
      <x:c r="I144" s="14" t="str">
        <x:v>已安排</x:v>
      </x:c>
      <x:c r="J144" s="4" t="str">
        <x:v>以当前教材PDF为准；后续逐课引用时复核题号、图号与数据</x:v>
      </x:c>
    </x:row>
    <x:row r="145" ht="34" customHeight="1">
      <x:c r="A145" s="11" t="n">
        <x:v>101</x:v>
      </x:c>
      <x:c r="B145" s="11" t="n">
        <x:v>108</x:v>
      </x:c>
      <x:c r="C145" s="4" t="str">
        <x:v>节/小节</x:v>
      </x:c>
      <x:c r="D145" s="4" t="str">
        <x:v>10.3 实际问题与二元一次方程组</x:v>
      </x:c>
      <x:c r="E145" s="10" t="str">
        <x:v>C10-L05</x:v>
      </x:c>
      <x:c r="F145" s="4" t="str">
        <x:v>二元一次方程组</x:v>
      </x:c>
      <x:c r="G145" s="4" t="n">
        <x:v>10.3</x:v>
      </x:c>
      <x:c r="H145" s="4" t="str">
        <x:v>实际问题与二元一次方程组（一）</x:v>
      </x:c>
      <x:c r="I145" s="14" t="str">
        <x:v>已安排</x:v>
      </x:c>
      <x:c r="J145" s="4" t="str">
        <x:v>以当前教材PDF为准；后续逐课引用时复核题号、图号与数据</x:v>
      </x:c>
    </x:row>
    <x:row r="146" ht="34" customHeight="1">
      <x:c r="A146" s="11" t="n">
        <x:v>102</x:v>
      </x:c>
      <x:c r="B146" s="11" t="n">
        <x:v>109</x:v>
      </x:c>
      <x:c r="C146" s="4" t="str">
        <x:v>正文/题目</x:v>
      </x:c>
      <x:c r="D146" s="4" t="str">
        <x:v>本页全部正文、图表与题目</x:v>
      </x:c>
      <x:c r="E146" s="10" t="str">
        <x:v>C10-L05</x:v>
      </x:c>
      <x:c r="F146" s="4" t="str">
        <x:v>二元一次方程组</x:v>
      </x:c>
      <x:c r="G146" s="4" t="n">
        <x:v>10.3</x:v>
      </x:c>
      <x:c r="H146" s="4" t="str">
        <x:v>实际问题与二元一次方程组（一）</x:v>
      </x:c>
      <x:c r="I146" s="14" t="str">
        <x:v>已安排</x:v>
      </x:c>
      <x:c r="J146" s="4" t="str">
        <x:v>以当前教材PDF为准；后续逐课引用时复核题号、图号与数据</x:v>
      </x:c>
    </x:row>
    <x:row r="147" ht="34" customHeight="1">
      <x:c r="A147" s="11" t="n">
        <x:v>103</x:v>
      </x:c>
      <x:c r="B147" s="11" t="n">
        <x:v>110</x:v>
      </x:c>
      <x:c r="C147" s="4" t="str">
        <x:v>正文/题目</x:v>
      </x:c>
      <x:c r="D147" s="4" t="str">
        <x:v>本页全部正文、图表与题目</x:v>
      </x:c>
      <x:c r="E147" s="10" t="str">
        <x:v>C10-L05</x:v>
      </x:c>
      <x:c r="F147" s="4" t="str">
        <x:v>二元一次方程组</x:v>
      </x:c>
      <x:c r="G147" s="4" t="n">
        <x:v>10.3</x:v>
      </x:c>
      <x:c r="H147" s="4" t="str">
        <x:v>实际问题与二元一次方程组（一）</x:v>
      </x:c>
      <x:c r="I147" s="14" t="str">
        <x:v>已安排</x:v>
      </x:c>
      <x:c r="J147" s="4" t="str">
        <x:v>以当前教材PDF为准；后续逐课引用时复核题号、图号与数据</x:v>
      </x:c>
    </x:row>
    <x:row r="148" ht="34" customHeight="1">
      <x:c r="A148" s="11" t="n">
        <x:v>104</x:v>
      </x:c>
      <x:c r="B148" s="11" t="n">
        <x:v>111</x:v>
      </x:c>
      <x:c r="C148" s="4" t="str">
        <x:v>正文/题目</x:v>
      </x:c>
      <x:c r="D148" s="4" t="str">
        <x:v>本页全部正文、图表与题目</x:v>
      </x:c>
      <x:c r="E148" s="10" t="str">
        <x:v>C10-L06</x:v>
      </x:c>
      <x:c r="F148" s="4" t="str">
        <x:v>二元一次方程组</x:v>
      </x:c>
      <x:c r="G148" s="4" t="n">
        <x:v>10.3</x:v>
      </x:c>
      <x:c r="H148" s="4" t="str">
        <x:v>实际问题与二元一次方程组（二）</x:v>
      </x:c>
      <x:c r="I148" s="14" t="str">
        <x:v>已安排</x:v>
      </x:c>
      <x:c r="J148" s="4" t="str">
        <x:v>以当前教材PDF为准；后续逐课引用时复核题号、图号与数据</x:v>
      </x:c>
    </x:row>
    <x:row r="149" ht="34" customHeight="1">
      <x:c r="A149" s="11" t="n">
        <x:v>105</x:v>
      </x:c>
      <x:c r="B149" s="11" t="n">
        <x:v>112</x:v>
      </x:c>
      <x:c r="C149" s="4" t="str">
        <x:v>正文/题目</x:v>
      </x:c>
      <x:c r="D149" s="4" t="str">
        <x:v>本页全部正文、图表与题目</x:v>
      </x:c>
      <x:c r="E149" s="10" t="str">
        <x:v>C10-L06</x:v>
      </x:c>
      <x:c r="F149" s="4" t="str">
        <x:v>二元一次方程组</x:v>
      </x:c>
      <x:c r="G149" s="4" t="n">
        <x:v>10.3</x:v>
      </x:c>
      <x:c r="H149" s="4" t="str">
        <x:v>实际问题与二元一次方程组（二）</x:v>
      </x:c>
      <x:c r="I149" s="14" t="str">
        <x:v>已安排</x:v>
      </x:c>
      <x:c r="J149" s="4" t="str">
        <x:v>以当前教材PDF为准；后续逐课引用时复核题号、图号与数据</x:v>
      </x:c>
    </x:row>
    <x:row r="150" ht="34" customHeight="1">
      <x:c r="A150" s="11" t="n">
        <x:v>106</x:v>
      </x:c>
      <x:c r="B150" s="11" t="n">
        <x:v>113</x:v>
      </x:c>
      <x:c r="C150" s="4" t="str">
        <x:v>正文/题目</x:v>
      </x:c>
      <x:c r="D150" s="4" t="str">
        <x:v>本页全部正文、图表与题目</x:v>
      </x:c>
      <x:c r="E150" s="10" t="str">
        <x:v>C10-L06</x:v>
      </x:c>
      <x:c r="F150" s="4" t="str">
        <x:v>二元一次方程组</x:v>
      </x:c>
      <x:c r="G150" s="4" t="n">
        <x:v>10.3</x:v>
      </x:c>
      <x:c r="H150" s="4" t="str">
        <x:v>实际问题与二元一次方程组（二）</x:v>
      </x:c>
      <x:c r="I150" s="14" t="str">
        <x:v>已安排</x:v>
      </x:c>
      <x:c r="J150" s="4" t="str">
        <x:v>以当前教材PDF为准；后续逐课引用时复核题号、图号与数据</x:v>
      </x:c>
    </x:row>
    <x:row r="151" ht="34" customHeight="1">
      <x:c r="A151" s="11" t="n">
        <x:v>107</x:v>
      </x:c>
      <x:c r="B151" s="11" t="n">
        <x:v>114</x:v>
      </x:c>
      <x:c r="C151" s="4" t="str">
        <x:v>整页覆盖</x:v>
      </x:c>
      <x:c r="D151" s="4" t="str">
        <x:v>本页全部正文、图表与题目</x:v>
      </x:c>
      <x:c r="E151" s="10" t="str">
        <x:v>C10-L07</x:v>
      </x:c>
      <x:c r="F151" s="4" t="str">
        <x:v>二元一次方程组</x:v>
      </x:c>
      <x:c r="G151" s="4" t="n">
        <x:v>10.4</x:v>
      </x:c>
      <x:c r="H151" s="4" t="str">
        <x:v>三元一次方程组的解法</x:v>
      </x:c>
      <x:c r="I151" s="14" t="str">
        <x:v>已安排</x:v>
      </x:c>
      <x:c r="J151" s="4" t="str">
        <x:v>以当前教材PDF为准；后续逐课引用时复核题号、图号与数据</x:v>
      </x:c>
    </x:row>
    <x:row r="152" ht="34" customHeight="1">
      <x:c r="A152" s="11" t="n">
        <x:v>107</x:v>
      </x:c>
      <x:c r="B152" s="11" t="n">
        <x:v>114</x:v>
      </x:c>
      <x:c r="C152" s="4" t="str">
        <x:v>节/小节</x:v>
      </x:c>
      <x:c r="D152" s="4" t="str">
        <x:v>10.4 三元一次方程组的解法</x:v>
      </x:c>
      <x:c r="E152" s="10" t="str">
        <x:v>C10-L07</x:v>
      </x:c>
      <x:c r="F152" s="4" t="str">
        <x:v>二元一次方程组</x:v>
      </x:c>
      <x:c r="G152" s="4" t="n">
        <x:v>10.4</x:v>
      </x:c>
      <x:c r="H152" s="4" t="str">
        <x:v>三元一次方程组的解法</x:v>
      </x:c>
      <x:c r="I152" s="14" t="str">
        <x:v>已安排</x:v>
      </x:c>
      <x:c r="J152" s="4" t="str">
        <x:v>以当前教材PDF为准；后续逐课引用时复核题号、图号与数据</x:v>
      </x:c>
    </x:row>
    <x:row r="153" ht="34" customHeight="1">
      <x:c r="A153" s="11" t="n">
        <x:v>108</x:v>
      </x:c>
      <x:c r="B153" s="11" t="n">
        <x:v>115</x:v>
      </x:c>
      <x:c r="C153" s="4" t="str">
        <x:v>整页覆盖</x:v>
      </x:c>
      <x:c r="D153" s="4" t="str">
        <x:v>本页全部正文、图表与题目</x:v>
      </x:c>
      <x:c r="E153" s="10" t="str">
        <x:v>C10-L07</x:v>
      </x:c>
      <x:c r="F153" s="4" t="str">
        <x:v>二元一次方程组</x:v>
      </x:c>
      <x:c r="G153" s="4" t="n">
        <x:v>10.4</x:v>
      </x:c>
      <x:c r="H153" s="4" t="str">
        <x:v>三元一次方程组的解法</x:v>
      </x:c>
      <x:c r="I153" s="14" t="str">
        <x:v>已安排</x:v>
      </x:c>
      <x:c r="J153" s="4" t="str">
        <x:v>以当前教材PDF为准；后续逐课引用时复核题号、图号与数据</x:v>
      </x:c>
    </x:row>
    <x:row r="154" ht="34" customHeight="1">
      <x:c r="A154" s="11" t="n">
        <x:v>108</x:v>
      </x:c>
      <x:c r="B154" s="11" t="n">
        <x:v>115</x:v>
      </x:c>
      <x:c r="C154" s="4" t="str">
        <x:v>例题</x:v>
      </x:c>
      <x:c r="D154" s="4" t="str">
        <x:v>例1 解三元一次方程组</x:v>
      </x:c>
      <x:c r="E154" s="10" t="str">
        <x:v>C10-L07</x:v>
      </x:c>
      <x:c r="F154" s="4" t="str">
        <x:v>二元一次方程组</x:v>
      </x:c>
      <x:c r="G154" s="4" t="n">
        <x:v>10.4</x:v>
      </x:c>
      <x:c r="H154" s="4" t="str">
        <x:v>三元一次方程组的解法</x:v>
      </x:c>
      <x:c r="I154" s="14" t="str">
        <x:v>已安排</x:v>
      </x:c>
      <x:c r="J154" s="4" t="str">
        <x:v>以当前教材PDF为准；后续逐课引用时复核题号、图号与数据</x:v>
      </x:c>
    </x:row>
    <x:row r="155" ht="34" customHeight="1">
      <x:c r="A155" s="11" t="n">
        <x:v>109</x:v>
      </x:c>
      <x:c r="B155" s="11" t="n">
        <x:v>116</x:v>
      </x:c>
      <x:c r="C155" s="4" t="str">
        <x:v>整页覆盖</x:v>
      </x:c>
      <x:c r="D155" s="4" t="str">
        <x:v>本页全部正文、图表与题目</x:v>
      </x:c>
      <x:c r="E155" s="10" t="str">
        <x:v>C10-L07</x:v>
      </x:c>
      <x:c r="F155" s="4" t="str">
        <x:v>二元一次方程组</x:v>
      </x:c>
      <x:c r="G155" s="4" t="n">
        <x:v>10.4</x:v>
      </x:c>
      <x:c r="H155" s="4" t="str">
        <x:v>三元一次方程组的解法</x:v>
      </x:c>
      <x:c r="I155" s="14" t="str">
        <x:v>已安排</x:v>
      </x:c>
      <x:c r="J155" s="4" t="str">
        <x:v>以当前教材PDF为准；后续逐课引用时复核题号、图号与数据</x:v>
      </x:c>
    </x:row>
    <x:row r="156" ht="34" customHeight="1">
      <x:c r="A156" s="11" t="n">
        <x:v>109</x:v>
      </x:c>
      <x:c r="B156" s="11" t="n">
        <x:v>116</x:v>
      </x:c>
      <x:c r="C156" s="4" t="str">
        <x:v>例题</x:v>
      </x:c>
      <x:c r="D156" s="4" t="str">
        <x:v>例2 在等式狔=犪狓2+犫狓+犮中,当狓=-1时,狔=0;当狓=2时,狔=3;</x:v>
      </x:c>
      <x:c r="E156" s="10" t="str">
        <x:v>C10-L07</x:v>
      </x:c>
      <x:c r="F156" s="4" t="str">
        <x:v>二元一次方程组</x:v>
      </x:c>
      <x:c r="G156" s="4" t="n">
        <x:v>10.4</x:v>
      </x:c>
      <x:c r="H156" s="4" t="str">
        <x:v>三元一次方程组的解法</x:v>
      </x:c>
      <x:c r="I156" s="14" t="str">
        <x:v>已安排</x:v>
      </x:c>
      <x:c r="J156" s="4" t="str">
        <x:v>以当前教材PDF为准；后续逐课引用时复核题号、图号与数据</x:v>
      </x:c>
    </x:row>
    <x:row r="157" ht="34" customHeight="1">
      <x:c r="A157" s="11" t="n">
        <x:v>110</x:v>
      </x:c>
      <x:c r="B157" s="11" t="n">
        <x:v>117</x:v>
      </x:c>
      <x:c r="C157" s="4" t="str">
        <x:v>整页覆盖</x:v>
      </x:c>
      <x:c r="D157" s="4" t="str">
        <x:v>本页全部正文、图表与题目</x:v>
      </x:c>
      <x:c r="E157" s="10" t="str">
        <x:v>C10-L07</x:v>
      </x:c>
      <x:c r="F157" s="4" t="str">
        <x:v>二元一次方程组</x:v>
      </x:c>
      <x:c r="G157" s="4" t="n">
        <x:v>10.4</x:v>
      </x:c>
      <x:c r="H157" s="4" t="str">
        <x:v>三元一次方程组的解法</x:v>
      </x:c>
      <x:c r="I157" s="14" t="str">
        <x:v>已安排</x:v>
      </x:c>
      <x:c r="J157" s="4" t="str">
        <x:v>以当前教材PDF为准；后续逐课引用时复核题号、图号与数据</x:v>
      </x:c>
    </x:row>
    <x:row r="158" ht="34" customHeight="1">
      <x:c r="A158" s="11" t="n">
        <x:v>110</x:v>
      </x:c>
      <x:c r="B158" s="11" t="n">
        <x:v>117</x:v>
      </x:c>
      <x:c r="C158" s="4" t="str">
        <x:v>例题</x:v>
      </x:c>
      <x:c r="D158" s="4" t="str">
        <x:v>例3 一个三位数,各数位上的数的和为14,百位上的数的2倍减去十位</x:v>
      </x:c>
      <x:c r="E158" s="10" t="str">
        <x:v>C10-L07</x:v>
      </x:c>
      <x:c r="F158" s="4" t="str">
        <x:v>二元一次方程组</x:v>
      </x:c>
      <x:c r="G158" s="4" t="n">
        <x:v>10.4</x:v>
      </x:c>
      <x:c r="H158" s="4" t="str">
        <x:v>三元一次方程组的解法</x:v>
      </x:c>
      <x:c r="I158" s="14" t="str">
        <x:v>已安排</x:v>
      </x:c>
      <x:c r="J158" s="4" t="str">
        <x:v>以当前教材PDF为准；后续逐课引用时复核题号、图号与数据</x:v>
      </x:c>
    </x:row>
    <x:row r="159" ht="34" customHeight="1">
      <x:c r="A159" s="11" t="n">
        <x:v>111</x:v>
      </x:c>
      <x:c r="B159" s="11" t="n">
        <x:v>118</x:v>
      </x:c>
      <x:c r="C159" s="4" t="str">
        <x:v>正文/题目</x:v>
      </x:c>
      <x:c r="D159" s="4" t="str">
        <x:v>本页全部正文、图表与题目</x:v>
      </x:c>
      <x:c r="E159" s="10" t="str">
        <x:v>C10-L07</x:v>
      </x:c>
      <x:c r="F159" s="4" t="str">
        <x:v>二元一次方程组</x:v>
      </x:c>
      <x:c r="G159" s="4" t="n">
        <x:v>10.4</x:v>
      </x:c>
      <x:c r="H159" s="4" t="str">
        <x:v>三元一次方程组的解法</x:v>
      </x:c>
      <x:c r="I159" s="14" t="str">
        <x:v>已安排</x:v>
      </x:c>
      <x:c r="J159" s="4" t="str">
        <x:v>以当前教材PDF为准；后续逐课引用时复核题号、图号与数据</x:v>
      </x:c>
    </x:row>
    <x:row r="160" ht="34" customHeight="1">
      <x:c r="A160" s="11" t="n">
        <x:v>112</x:v>
      </x:c>
      <x:c r="B160" s="11" t="n">
        <x:v>119</x:v>
      </x:c>
      <x:c r="C160" s="4" t="str">
        <x:v>正文/题目</x:v>
      </x:c>
      <x:c r="D160" s="4" t="str">
        <x:v>本页全部正文、图表与题目</x:v>
      </x:c>
      <x:c r="E160" s="10" t="str">
        <x:v>C10-L08</x:v>
      </x:c>
      <x:c r="F160" s="4" t="str">
        <x:v>二元一次方程组</x:v>
      </x:c>
      <x:c r="G160" s="4" t="str">
        <x:v>图说数学史、阅读与思考</x:v>
      </x:c>
      <x:c r="H160" s="4" t="str">
        <x:v>中国古代的多元一次方程组</x:v>
      </x:c>
      <x:c r="I160" s="14" t="str">
        <x:v>已安排</x:v>
      </x:c>
      <x:c r="J160" s="4" t="str">
        <x:v>以当前教材PDF为准；后续逐课引用时复核题号、图号与数据</x:v>
      </x:c>
    </x:row>
    <x:row r="161" ht="34" customHeight="1">
      <x:c r="A161" s="11" t="n">
        <x:v>113</x:v>
      </x:c>
      <x:c r="B161" s="11" t="n">
        <x:v>120</x:v>
      </x:c>
      <x:c r="C161" s="4" t="str">
        <x:v>正文/题目</x:v>
      </x:c>
      <x:c r="D161" s="4" t="str">
        <x:v>本页全部正文、图表与题目</x:v>
      </x:c>
      <x:c r="E161" s="10" t="str">
        <x:v>C10-L08</x:v>
      </x:c>
      <x:c r="F161" s="4" t="str">
        <x:v>二元一次方程组</x:v>
      </x:c>
      <x:c r="G161" s="4" t="str">
        <x:v>图说数学史、阅读与思考</x:v>
      </x:c>
      <x:c r="H161" s="4" t="str">
        <x:v>中国古代的多元一次方程组</x:v>
      </x:c>
      <x:c r="I161" s="14" t="str">
        <x:v>已安排</x:v>
      </x:c>
      <x:c r="J161" s="4" t="str">
        <x:v>以当前教材PDF为准；后续逐课引用时复核题号、图号与数据</x:v>
      </x:c>
    </x:row>
    <x:row r="162" ht="34" customHeight="1">
      <x:c r="A162" s="11" t="n">
        <x:v>114</x:v>
      </x:c>
      <x:c r="B162" s="11" t="n">
        <x:v>121</x:v>
      </x:c>
      <x:c r="C162" s="4" t="str">
        <x:v>正文/题目</x:v>
      </x:c>
      <x:c r="D162" s="4" t="str">
        <x:v>本页全部正文、图表与题目</x:v>
      </x:c>
      <x:c r="E162" s="10" t="str">
        <x:v>C10-L08</x:v>
      </x:c>
      <x:c r="F162" s="4" t="str">
        <x:v>二元一次方程组</x:v>
      </x:c>
      <x:c r="G162" s="4" t="str">
        <x:v>图说数学史、阅读与思考</x:v>
      </x:c>
      <x:c r="H162" s="4" t="str">
        <x:v>中国古代的多元一次方程组</x:v>
      </x:c>
      <x:c r="I162" s="14" t="str">
        <x:v>已安排</x:v>
      </x:c>
      <x:c r="J162" s="4" t="str">
        <x:v>以当前教材PDF为准；后续逐课引用时复核题号、图号与数据</x:v>
      </x:c>
    </x:row>
    <x:row r="163" ht="34" customHeight="1">
      <x:c r="A163" s="11" t="n">
        <x:v>115</x:v>
      </x:c>
      <x:c r="B163" s="11" t="n">
        <x:v>122</x:v>
      </x:c>
      <x:c r="C163" s="4" t="str">
        <x:v>正文/题目</x:v>
      </x:c>
      <x:c r="D163" s="4" t="str">
        <x:v>本页全部正文、图表与题目</x:v>
      </x:c>
      <x:c r="E163" s="10" t="str">
        <x:v>C10-L09</x:v>
      </x:c>
      <x:c r="F163" s="4" t="str">
        <x:v>二元一次方程组</x:v>
      </x:c>
      <x:c r="G163" s="4" t="str">
        <x:v>数学活动</x:v>
      </x:c>
      <x:c r="H163" s="4" t="str">
        <x:v>二元一次方程组数学活动</x:v>
      </x:c>
      <x:c r="I163" s="14" t="str">
        <x:v>已安排</x:v>
      </x:c>
      <x:c r="J163" s="4" t="str">
        <x:v>以当前教材PDF为准；后续逐课引用时复核题号、图号与数据</x:v>
      </x:c>
    </x:row>
    <x:row r="164" ht="34" customHeight="1">
      <x:c r="A164" s="11" t="n">
        <x:v>116</x:v>
      </x:c>
      <x:c r="B164" s="11" t="n">
        <x:v>123</x:v>
      </x:c>
      <x:c r="C164" s="4" t="str">
        <x:v>正文/题目</x:v>
      </x:c>
      <x:c r="D164" s="4" t="str">
        <x:v>本页全部正文、图表与题目</x:v>
      </x:c>
      <x:c r="E164" s="10" t="str">
        <x:v>C10-L09</x:v>
      </x:c>
      <x:c r="F164" s="4" t="str">
        <x:v>二元一次方程组</x:v>
      </x:c>
      <x:c r="G164" s="4" t="str">
        <x:v>数学活动</x:v>
      </x:c>
      <x:c r="H164" s="4" t="str">
        <x:v>二元一次方程组数学活动</x:v>
      </x:c>
      <x:c r="I164" s="14" t="str">
        <x:v>已安排</x:v>
      </x:c>
      <x:c r="J164" s="4" t="str">
        <x:v>以当前教材PDF为准；后续逐课引用时复核题号、图号与数据</x:v>
      </x:c>
    </x:row>
    <x:row r="165" ht="34" customHeight="1">
      <x:c r="A165" s="11" t="n">
        <x:v>117</x:v>
      </x:c>
      <x:c r="B165" s="11" t="n">
        <x:v>124</x:v>
      </x:c>
      <x:c r="C165" s="4" t="str">
        <x:v>正文/题目</x:v>
      </x:c>
      <x:c r="D165" s="4" t="str">
        <x:v>本页全部正文、图表与题目</x:v>
      </x:c>
      <x:c r="E165" s="10" t="str">
        <x:v>C10-L10</x:v>
      </x:c>
      <x:c r="F165" s="4" t="str">
        <x:v>二元一次方程组</x:v>
      </x:c>
      <x:c r="G165" s="4" t="str">
        <x:v>小结与复习题10</x:v>
      </x:c>
      <x:c r="H165" s="4" t="str">
        <x:v>二元一次方程组章末复习</x:v>
      </x:c>
      <x:c r="I165" s="14" t="str">
        <x:v>已安排</x:v>
      </x:c>
      <x:c r="J165" s="4" t="str">
        <x:v>以当前教材PDF为准；后续逐课引用时复核题号、图号与数据</x:v>
      </x:c>
    </x:row>
    <x:row r="166" ht="34" customHeight="1">
      <x:c r="A166" s="11" t="n">
        <x:v>118</x:v>
      </x:c>
      <x:c r="B166" s="11" t="n">
        <x:v>125</x:v>
      </x:c>
      <x:c r="C166" s="4" t="str">
        <x:v>正文/题目</x:v>
      </x:c>
      <x:c r="D166" s="4" t="str">
        <x:v>本页全部正文、图表与题目</x:v>
      </x:c>
      <x:c r="E166" s="10" t="str">
        <x:v>C10-L10</x:v>
      </x:c>
      <x:c r="F166" s="4" t="str">
        <x:v>二元一次方程组</x:v>
      </x:c>
      <x:c r="G166" s="4" t="str">
        <x:v>小结与复习题10</x:v>
      </x:c>
      <x:c r="H166" s="4" t="str">
        <x:v>二元一次方程组章末复习</x:v>
      </x:c>
      <x:c r="I166" s="14" t="str">
        <x:v>已安排</x:v>
      </x:c>
      <x:c r="J166" s="4" t="str">
        <x:v>以当前教材PDF为准；后续逐课引用时复核题号、图号与数据</x:v>
      </x:c>
    </x:row>
    <x:row r="167" ht="34" customHeight="1">
      <x:c r="A167" s="11" t="n">
        <x:v>119</x:v>
      </x:c>
      <x:c r="B167" s="11" t="n">
        <x:v>126</x:v>
      </x:c>
      <x:c r="C167" s="4" t="str">
        <x:v>正文/题目</x:v>
      </x:c>
      <x:c r="D167" s="4" t="str">
        <x:v>本页全部正文、图表与题目</x:v>
      </x:c>
      <x:c r="E167" s="10" t="str">
        <x:v>C10-L10</x:v>
      </x:c>
      <x:c r="F167" s="4" t="str">
        <x:v>二元一次方程组</x:v>
      </x:c>
      <x:c r="G167" s="4" t="str">
        <x:v>小结与复习题10</x:v>
      </x:c>
      <x:c r="H167" s="4" t="str">
        <x:v>二元一次方程组章末复习</x:v>
      </x:c>
      <x:c r="I167" s="14" t="str">
        <x:v>已安排</x:v>
      </x:c>
      <x:c r="J167" s="4" t="str">
        <x:v>以当前教材PDF为准；后续逐课引用时复核题号、图号与数据</x:v>
      </x:c>
    </x:row>
    <x:row r="168" ht="34" customHeight="1">
      <x:c r="A168" s="11" t="n">
        <x:v>120</x:v>
      </x:c>
      <x:c r="B168" s="11" t="n">
        <x:v>127</x:v>
      </x:c>
      <x:c r="C168" s="4" t="str">
        <x:v>正文/题目</x:v>
      </x:c>
      <x:c r="D168" s="4" t="str">
        <x:v>本页全部正文、图表与题目</x:v>
      </x:c>
      <x:c r="E168" s="10" t="str">
        <x:v>C11-L01</x:v>
      </x:c>
      <x:c r="F168" s="4" t="str">
        <x:v>不等式与不等式组</x:v>
      </x:c>
      <x:c r="G168" s="4" t="n">
        <x:v>11.1</x:v>
      </x:c>
      <x:c r="H168" s="4" t="str">
        <x:v>不等式及其解集</x:v>
      </x:c>
      <x:c r="I168" s="14" t="str">
        <x:v>已安排</x:v>
      </x:c>
      <x:c r="J168" s="4" t="str">
        <x:v>以当前教材PDF为准；后续逐课引用时复核题号、图号与数据</x:v>
      </x:c>
    </x:row>
    <x:row r="169" ht="34" customHeight="1">
      <x:c r="A169" s="11" t="n">
        <x:v>121</x:v>
      </x:c>
      <x:c r="B169" s="11" t="n">
        <x:v>128</x:v>
      </x:c>
      <x:c r="C169" s="4" t="str">
        <x:v>整页覆盖</x:v>
      </x:c>
      <x:c r="D169" s="4" t="str">
        <x:v>本页全部正文、图表与题目</x:v>
      </x:c>
      <x:c r="E169" s="10" t="str">
        <x:v>C11-L01</x:v>
      </x:c>
      <x:c r="F169" s="4" t="str">
        <x:v>不等式与不等式组</x:v>
      </x:c>
      <x:c r="G169" s="4" t="n">
        <x:v>11.1</x:v>
      </x:c>
      <x:c r="H169" s="4" t="str">
        <x:v>不等式及其解集</x:v>
      </x:c>
      <x:c r="I169" s="14" t="str">
        <x:v>已安排</x:v>
      </x:c>
      <x:c r="J169" s="4" t="str">
        <x:v>以当前教材PDF为准；后续逐课引用时复核题号、图号与数据</x:v>
      </x:c>
    </x:row>
    <x:row r="170" ht="34" customHeight="1">
      <x:c r="A170" s="11" t="n">
        <x:v>121</x:v>
      </x:c>
      <x:c r="B170" s="11" t="n">
        <x:v>128</x:v>
      </x:c>
      <x:c r="C170" s="4" t="str">
        <x:v>节/小节</x:v>
      </x:c>
      <x:c r="D170" s="4" t="str">
        <x:v>11.1 不等式</x:v>
      </x:c>
      <x:c r="E170" s="10" t="str">
        <x:v>C11-L01</x:v>
      </x:c>
      <x:c r="F170" s="4" t="str">
        <x:v>不等式与不等式组</x:v>
      </x:c>
      <x:c r="G170" s="4" t="n">
        <x:v>11.1</x:v>
      </x:c>
      <x:c r="H170" s="4" t="str">
        <x:v>不等式及其解集</x:v>
      </x:c>
      <x:c r="I170" s="14" t="str">
        <x:v>已安排</x:v>
      </x:c>
      <x:c r="J170" s="4" t="str">
        <x:v>以当前教材PDF为准；后续逐课引用时复核题号、图号与数据</x:v>
      </x:c>
    </x:row>
    <x:row r="171" ht="34" customHeight="1">
      <x:c r="A171" s="11" t="n">
        <x:v>121</x:v>
      </x:c>
      <x:c r="B171" s="11" t="n">
        <x:v>128</x:v>
      </x:c>
      <x:c r="C171" s="4" t="str">
        <x:v>例题</x:v>
      </x:c>
      <x:c r="D171" s="4" t="str">
        <x:v>例1 用不等式表示下列不等关系:</x:v>
      </x:c>
      <x:c r="E171" s="10" t="str">
        <x:v>C11-L01</x:v>
      </x:c>
      <x:c r="F171" s="4" t="str">
        <x:v>不等式与不等式组</x:v>
      </x:c>
      <x:c r="G171" s="4" t="n">
        <x:v>11.1</x:v>
      </x:c>
      <x:c r="H171" s="4" t="str">
        <x:v>不等式及其解集</x:v>
      </x:c>
      <x:c r="I171" s="14" t="str">
        <x:v>已安排</x:v>
      </x:c>
      <x:c r="J171" s="4" t="str">
        <x:v>以当前教材PDF为准；后续逐课引用时复核题号、图号与数据</x:v>
      </x:c>
    </x:row>
    <x:row r="172" ht="34" customHeight="1">
      <x:c r="A172" s="11" t="n">
        <x:v>122</x:v>
      </x:c>
      <x:c r="B172" s="11" t="n">
        <x:v>129</x:v>
      </x:c>
      <x:c r="C172" s="4" t="str">
        <x:v>正文/题目</x:v>
      </x:c>
      <x:c r="D172" s="4" t="str">
        <x:v>本页全部正文、图表与题目</x:v>
      </x:c>
      <x:c r="E172" s="10" t="str">
        <x:v>C11-L01</x:v>
      </x:c>
      <x:c r="F172" s="4" t="str">
        <x:v>不等式与不等式组</x:v>
      </x:c>
      <x:c r="G172" s="4" t="n">
        <x:v>11.1</x:v>
      </x:c>
      <x:c r="H172" s="4" t="str">
        <x:v>不等式及其解集</x:v>
      </x:c>
      <x:c r="I172" s="14" t="str">
        <x:v>已安排</x:v>
      </x:c>
      <x:c r="J172" s="4" t="str">
        <x:v>以当前教材PDF为准；后续逐课引用时复核题号、图号与数据</x:v>
      </x:c>
    </x:row>
    <x:row r="173" ht="34" customHeight="1">
      <x:c r="A173" s="11" t="n">
        <x:v>123</x:v>
      </x:c>
      <x:c r="B173" s="11" t="n">
        <x:v>130</x:v>
      </x:c>
      <x:c r="C173" s="4" t="str">
        <x:v>正文/题目</x:v>
      </x:c>
      <x:c r="D173" s="4" t="str">
        <x:v>本页全部正文、图表与题目</x:v>
      </x:c>
      <x:c r="E173" s="10" t="str">
        <x:v>C11-L01</x:v>
      </x:c>
      <x:c r="F173" s="4" t="str">
        <x:v>不等式与不等式组</x:v>
      </x:c>
      <x:c r="G173" s="4" t="n">
        <x:v>11.1</x:v>
      </x:c>
      <x:c r="H173" s="4" t="str">
        <x:v>不等式及其解集</x:v>
      </x:c>
      <x:c r="I173" s="14" t="str">
        <x:v>已安排</x:v>
      </x:c>
      <x:c r="J173" s="4" t="str">
        <x:v>以当前教材PDF为准；后续逐课引用时复核题号、图号与数据</x:v>
      </x:c>
    </x:row>
    <x:row r="174" ht="34" customHeight="1">
      <x:c r="A174" s="11" t="n">
        <x:v>124</x:v>
      </x:c>
      <x:c r="B174" s="11" t="n">
        <x:v>131</x:v>
      </x:c>
      <x:c r="C174" s="4" t="str">
        <x:v>正文/题目</x:v>
      </x:c>
      <x:c r="D174" s="4" t="str">
        <x:v>本页全部正文、图表与题目</x:v>
      </x:c>
      <x:c r="E174" s="10" t="str">
        <x:v>C11-L02</x:v>
      </x:c>
      <x:c r="F174" s="4" t="str">
        <x:v>不等式与不等式组</x:v>
      </x:c>
      <x:c r="G174" s="4" t="n">
        <x:v>11.1</x:v>
      </x:c>
      <x:c r="H174" s="4" t="str">
        <x:v>不等式的性质</x:v>
      </x:c>
      <x:c r="I174" s="14" t="str">
        <x:v>已安排</x:v>
      </x:c>
      <x:c r="J174" s="4" t="str">
        <x:v>以当前教材PDF为准；后续逐课引用时复核题号、图号与数据</x:v>
      </x:c>
    </x:row>
    <x:row r="175" ht="34" customHeight="1">
      <x:c r="A175" s="11" t="n">
        <x:v>125</x:v>
      </x:c>
      <x:c r="B175" s="11" t="n">
        <x:v>132</x:v>
      </x:c>
      <x:c r="C175" s="4" t="str">
        <x:v>整页覆盖</x:v>
      </x:c>
      <x:c r="D175" s="4" t="str">
        <x:v>本页全部正文、图表与题目</x:v>
      </x:c>
      <x:c r="E175" s="10" t="str">
        <x:v>C11-L02</x:v>
      </x:c>
      <x:c r="F175" s="4" t="str">
        <x:v>不等式与不等式组</x:v>
      </x:c>
      <x:c r="G175" s="4" t="n">
        <x:v>11.1</x:v>
      </x:c>
      <x:c r="H175" s="4" t="str">
        <x:v>不等式的性质</x:v>
      </x:c>
      <x:c r="I175" s="14" t="str">
        <x:v>已安排</x:v>
      </x:c>
      <x:c r="J175" s="4" t="str">
        <x:v>以当前教材PDF为准；后续逐课引用时复核题号、图号与数据</x:v>
      </x:c>
    </x:row>
    <x:row r="176" ht="34" customHeight="1">
      <x:c r="A176" s="11" t="n">
        <x:v>125</x:v>
      </x:c>
      <x:c r="B176" s="11" t="n">
        <x:v>132</x:v>
      </x:c>
      <x:c r="C176" s="4" t="str">
        <x:v>例题</x:v>
      </x:c>
      <x:c r="D176" s="4" t="str">
        <x:v>例2 已知犪&gt;犫,比较下列两个式子的大小,并说明依据.</x:v>
      </x:c>
      <x:c r="E176" s="10" t="str">
        <x:v>C11-L02</x:v>
      </x:c>
      <x:c r="F176" s="4" t="str">
        <x:v>不等式与不等式组</x:v>
      </x:c>
      <x:c r="G176" s="4" t="n">
        <x:v>11.1</x:v>
      </x:c>
      <x:c r="H176" s="4" t="str">
        <x:v>不等式的性质</x:v>
      </x:c>
      <x:c r="I176" s="14" t="str">
        <x:v>已安排</x:v>
      </x:c>
      <x:c r="J176" s="4" t="str">
        <x:v>以当前教材PDF为准；后续逐课引用时复核题号、图号与数据</x:v>
      </x:c>
    </x:row>
    <x:row r="177" ht="34" customHeight="1">
      <x:c r="A177" s="11" t="n">
        <x:v>126</x:v>
      </x:c>
      <x:c r="B177" s="11" t="n">
        <x:v>133</x:v>
      </x:c>
      <x:c r="C177" s="4" t="str">
        <x:v>整页覆盖</x:v>
      </x:c>
      <x:c r="D177" s="4" t="str">
        <x:v>本页全部正文、图表与题目</x:v>
      </x:c>
      <x:c r="E177" s="10" t="str">
        <x:v>C11-L02</x:v>
      </x:c>
      <x:c r="F177" s="4" t="str">
        <x:v>不等式与不等式组</x:v>
      </x:c>
      <x:c r="G177" s="4" t="n">
        <x:v>11.1</x:v>
      </x:c>
      <x:c r="H177" s="4" t="str">
        <x:v>不等式的性质</x:v>
      </x:c>
      <x:c r="I177" s="14" t="str">
        <x:v>已安排</x:v>
      </x:c>
      <x:c r="J177" s="4" t="str">
        <x:v>以当前教材PDF为准；后续逐课引用时复核题号、图号与数据</x:v>
      </x:c>
    </x:row>
    <x:row r="178" ht="34" customHeight="1">
      <x:c r="A178" s="11" t="n">
        <x:v>126</x:v>
      </x:c>
      <x:c r="B178" s="11" t="n">
        <x:v>133</x:v>
      </x:c>
      <x:c r="C178" s="4" t="str">
        <x:v>例题</x:v>
      </x:c>
      <x:c r="D178" s="4" t="str">
        <x:v>例3 利用不等式的性质解下列不等式:</x:v>
      </x:c>
      <x:c r="E178" s="10" t="str">
        <x:v>C11-L02</x:v>
      </x:c>
      <x:c r="F178" s="4" t="str">
        <x:v>不等式与不等式组</x:v>
      </x:c>
      <x:c r="G178" s="4" t="n">
        <x:v>11.1</x:v>
      </x:c>
      <x:c r="H178" s="4" t="str">
        <x:v>不等式的性质</x:v>
      </x:c>
      <x:c r="I178" s="14" t="str">
        <x:v>已安排</x:v>
      </x:c>
      <x:c r="J178" s="4" t="str">
        <x:v>以当前教材PDF为准；后续逐课引用时复核题号、图号与数据</x:v>
      </x:c>
    </x:row>
    <x:row r="179" ht="34" customHeight="1">
      <x:c r="A179" s="11" t="n">
        <x:v>127</x:v>
      </x:c>
      <x:c r="B179" s="11" t="n">
        <x:v>134</x:v>
      </x:c>
      <x:c r="C179" s="4" t="str">
        <x:v>整页覆盖</x:v>
      </x:c>
      <x:c r="D179" s="4" t="str">
        <x:v>本页全部正文、图表与题目</x:v>
      </x:c>
      <x:c r="E179" s="10" t="str">
        <x:v>C11-L03</x:v>
      </x:c>
      <x:c r="F179" s="4" t="str">
        <x:v>不等式与不等式组</x:v>
      </x:c>
      <x:c r="G179" s="4" t="n">
        <x:v>11.1</x:v>
      </x:c>
      <x:c r="H179" s="4" t="str">
        <x:v>不等式的应用与比较大小</x:v>
      </x:c>
      <x:c r="I179" s="14" t="str">
        <x:v>已安排</x:v>
      </x:c>
      <x:c r="J179" s="4" t="str">
        <x:v>以当前教材PDF为准；后续逐课引用时复核题号、图号与数据</x:v>
      </x:c>
    </x:row>
    <x:row r="180" ht="34" customHeight="1">
      <x:c r="A180" s="11" t="n">
        <x:v>127</x:v>
      </x:c>
      <x:c r="B180" s="11" t="n">
        <x:v>134</x:v>
      </x:c>
      <x:c r="C180" s="4" t="str">
        <x:v>例题</x:v>
      </x:c>
      <x:c r="D180" s="4" t="str">
        <x:v>例4 如图11.15,一个长方体形状的鱼缸</x:v>
      </x:c>
      <x:c r="E180" s="10" t="str">
        <x:v>C11-L03</x:v>
      </x:c>
      <x:c r="F180" s="4" t="str">
        <x:v>不等式与不等式组</x:v>
      </x:c>
      <x:c r="G180" s="4" t="n">
        <x:v>11.1</x:v>
      </x:c>
      <x:c r="H180" s="4" t="str">
        <x:v>不等式的应用与比较大小</x:v>
      </x:c>
      <x:c r="I180" s="14" t="str">
        <x:v>已安排</x:v>
      </x:c>
      <x:c r="J180" s="4" t="str">
        <x:v>以当前教材PDF为准；后续逐课引用时复核题号、图号与数据</x:v>
      </x:c>
    </x:row>
    <x:row r="181" ht="34" customHeight="1">
      <x:c r="A181" s="11" t="n">
        <x:v>128</x:v>
      </x:c>
      <x:c r="B181" s="11" t="n">
        <x:v>135</x:v>
      </x:c>
      <x:c r="C181" s="4" t="str">
        <x:v>正文/题目</x:v>
      </x:c>
      <x:c r="D181" s="4" t="str">
        <x:v>本页全部正文、图表与题目</x:v>
      </x:c>
      <x:c r="E181" s="10" t="str">
        <x:v>C11-L03</x:v>
      </x:c>
      <x:c r="F181" s="4" t="str">
        <x:v>不等式与不等式组</x:v>
      </x:c>
      <x:c r="G181" s="4" t="n">
        <x:v>11.1</x:v>
      </x:c>
      <x:c r="H181" s="4" t="str">
        <x:v>不等式的应用与比较大小</x:v>
      </x:c>
      <x:c r="I181" s="14" t="str">
        <x:v>已安排</x:v>
      </x:c>
      <x:c r="J181" s="4" t="str">
        <x:v>以当前教材PDF为准；后续逐课引用时复核题号、图号与数据</x:v>
      </x:c>
    </x:row>
    <x:row r="182" ht="34" customHeight="1">
      <x:c r="A182" s="11" t="n">
        <x:v>129</x:v>
      </x:c>
      <x:c r="B182" s="11" t="n">
        <x:v>136</x:v>
      </x:c>
      <x:c r="C182" s="4" t="str">
        <x:v>正文/题目</x:v>
      </x:c>
      <x:c r="D182" s="4" t="str">
        <x:v>本页全部正文、图表与题目</x:v>
      </x:c>
      <x:c r="E182" s="10" t="str">
        <x:v>C11-L03</x:v>
      </x:c>
      <x:c r="F182" s="4" t="str">
        <x:v>不等式与不等式组</x:v>
      </x:c>
      <x:c r="G182" s="4" t="n">
        <x:v>11.1</x:v>
      </x:c>
      <x:c r="H182" s="4" t="str">
        <x:v>不等式的应用与比较大小</x:v>
      </x:c>
      <x:c r="I182" s="14" t="str">
        <x:v>已安排</x:v>
      </x:c>
      <x:c r="J182" s="4" t="str">
        <x:v>以当前教材PDF为准；后续逐课引用时复核题号、图号与数据</x:v>
      </x:c>
    </x:row>
    <x:row r="183" ht="34" customHeight="1">
      <x:c r="A183" s="11" t="n">
        <x:v>130</x:v>
      </x:c>
      <x:c r="B183" s="11" t="n">
        <x:v>137</x:v>
      </x:c>
      <x:c r="C183" s="4" t="str">
        <x:v>正文/题目</x:v>
      </x:c>
      <x:c r="D183" s="4" t="str">
        <x:v>本页全部正文、图表与题目</x:v>
      </x:c>
      <x:c r="E183" s="10" t="str">
        <x:v>C11-L03</x:v>
      </x:c>
      <x:c r="F183" s="4" t="str">
        <x:v>不等式与不等式组</x:v>
      </x:c>
      <x:c r="G183" s="4" t="n">
        <x:v>11.1</x:v>
      </x:c>
      <x:c r="H183" s="4" t="str">
        <x:v>不等式的应用与比较大小</x:v>
      </x:c>
      <x:c r="I183" s="14" t="str">
        <x:v>已安排</x:v>
      </x:c>
      <x:c r="J183" s="4" t="str">
        <x:v>以当前教材PDF为准；后续逐课引用时复核题号、图号与数据</x:v>
      </x:c>
    </x:row>
    <x:row r="184" ht="34" customHeight="1">
      <x:c r="A184" s="11" t="n">
        <x:v>131</x:v>
      </x:c>
      <x:c r="B184" s="11" t="n">
        <x:v>138</x:v>
      </x:c>
      <x:c r="C184" s="4" t="str">
        <x:v>整页覆盖</x:v>
      </x:c>
      <x:c r="D184" s="4" t="str">
        <x:v>本页全部正文、图表与题目</x:v>
      </x:c>
      <x:c r="E184" s="10" t="str">
        <x:v>C11-L04</x:v>
      </x:c>
      <x:c r="F184" s="4" t="str">
        <x:v>不等式与不等式组</x:v>
      </x:c>
      <x:c r="G184" s="4" t="n">
        <x:v>11.2</x:v>
      </x:c>
      <x:c r="H184" s="4" t="str">
        <x:v>解一元一次不等式</x:v>
      </x:c>
      <x:c r="I184" s="14" t="str">
        <x:v>已安排</x:v>
      </x:c>
      <x:c r="J184" s="4" t="str">
        <x:v>以当前教材PDF为准；后续逐课引用时复核题号、图号与数据</x:v>
      </x:c>
    </x:row>
    <x:row r="185" ht="34" customHeight="1">
      <x:c r="A185" s="11" t="n">
        <x:v>131</x:v>
      </x:c>
      <x:c r="B185" s="11" t="n">
        <x:v>138</x:v>
      </x:c>
      <x:c r="C185" s="4" t="str">
        <x:v>节/小节</x:v>
      </x:c>
      <x:c r="D185" s="4" t="str">
        <x:v>11.2 一元一次不等式</x:v>
      </x:c>
      <x:c r="E185" s="10" t="str">
        <x:v>C11-L04</x:v>
      </x:c>
      <x:c r="F185" s="4" t="str">
        <x:v>不等式与不等式组</x:v>
      </x:c>
      <x:c r="G185" s="4" t="n">
        <x:v>11.2</x:v>
      </x:c>
      <x:c r="H185" s="4" t="str">
        <x:v>解一元一次不等式</x:v>
      </x:c>
      <x:c r="I185" s="14" t="str">
        <x:v>已安排</x:v>
      </x:c>
      <x:c r="J185" s="4" t="str">
        <x:v>以当前教材PDF为准；后续逐课引用时复核题号、图号与数据</x:v>
      </x:c>
    </x:row>
    <x:row r="186" ht="34" customHeight="1">
      <x:c r="A186" s="11" t="n">
        <x:v>131</x:v>
      </x:c>
      <x:c r="B186" s="11" t="n">
        <x:v>138</x:v>
      </x:c>
      <x:c r="C186" s="4" t="str">
        <x:v>例题</x:v>
      </x:c>
      <x:c r="D186" s="4" t="str">
        <x:v>例1 解下列不等式,并在数轴上表示解集:</x:v>
      </x:c>
      <x:c r="E186" s="10" t="str">
        <x:v>C11-L04</x:v>
      </x:c>
      <x:c r="F186" s="4" t="str">
        <x:v>不等式与不等式组</x:v>
      </x:c>
      <x:c r="G186" s="4" t="n">
        <x:v>11.2</x:v>
      </x:c>
      <x:c r="H186" s="4" t="str">
        <x:v>解一元一次不等式</x:v>
      </x:c>
      <x:c r="I186" s="14" t="str">
        <x:v>已安排</x:v>
      </x:c>
      <x:c r="J186" s="4" t="str">
        <x:v>以当前教材PDF为准；后续逐课引用时复核题号、图号与数据</x:v>
      </x:c>
    </x:row>
    <x:row r="187" ht="34" customHeight="1">
      <x:c r="A187" s="11" t="n">
        <x:v>132</x:v>
      </x:c>
      <x:c r="B187" s="11" t="n">
        <x:v>139</x:v>
      </x:c>
      <x:c r="C187" s="4" t="str">
        <x:v>正文/题目</x:v>
      </x:c>
      <x:c r="D187" s="4" t="str">
        <x:v>本页全部正文、图表与题目</x:v>
      </x:c>
      <x:c r="E187" s="10" t="str">
        <x:v>C11-L04</x:v>
      </x:c>
      <x:c r="F187" s="4" t="str">
        <x:v>不等式与不等式组</x:v>
      </x:c>
      <x:c r="G187" s="4" t="n">
        <x:v>11.2</x:v>
      </x:c>
      <x:c r="H187" s="4" t="str">
        <x:v>解一元一次不等式</x:v>
      </x:c>
      <x:c r="I187" s="14" t="str">
        <x:v>已安排</x:v>
      </x:c>
      <x:c r="J187" s="4" t="str">
        <x:v>以当前教材PDF为准；后续逐课引用时复核题号、图号与数据</x:v>
      </x:c>
    </x:row>
    <x:row r="188" ht="34" customHeight="1">
      <x:c r="A188" s="11" t="n">
        <x:v>133</x:v>
      </x:c>
      <x:c r="B188" s="11" t="n">
        <x:v>140</x:v>
      </x:c>
      <x:c r="C188" s="4" t="str">
        <x:v>整页覆盖</x:v>
      </x:c>
      <x:c r="D188" s="4" t="str">
        <x:v>本页全部正文、图表与题目</x:v>
      </x:c>
      <x:c r="E188" s="10" t="str">
        <x:v>C11-L05</x:v>
      </x:c>
      <x:c r="F188" s="4" t="str">
        <x:v>不等式与不等式组</x:v>
      </x:c>
      <x:c r="G188" s="4" t="n">
        <x:v>11.2</x:v>
      </x:c>
      <x:c r="H188" s="4" t="str">
        <x:v>一元一次不等式的应用</x:v>
      </x:c>
      <x:c r="I188" s="14" t="str">
        <x:v>已安排</x:v>
      </x:c>
      <x:c r="J188" s="4" t="str">
        <x:v>以当前教材PDF为准；后续逐课引用时复核题号、图号与数据</x:v>
      </x:c>
    </x:row>
    <x:row r="189" ht="34" customHeight="1">
      <x:c r="A189" s="11" t="n">
        <x:v>133</x:v>
      </x:c>
      <x:c r="B189" s="11" t="n">
        <x:v>140</x:v>
      </x:c>
      <x:c r="C189" s="4" t="str">
        <x:v>例题</x:v>
      </x:c>
      <x:c r="D189" s="4" t="str">
        <x:v>例2 七年级举办古诗词知识竞赛,共有20道题,每一题答对得10分,</x:v>
      </x:c>
      <x:c r="E189" s="10" t="str">
        <x:v>C11-L05</x:v>
      </x:c>
      <x:c r="F189" s="4" t="str">
        <x:v>不等式与不等式组</x:v>
      </x:c>
      <x:c r="G189" s="4" t="n">
        <x:v>11.2</x:v>
      </x:c>
      <x:c r="H189" s="4" t="str">
        <x:v>一元一次不等式的应用</x:v>
      </x:c>
      <x:c r="I189" s="14" t="str">
        <x:v>已安排</x:v>
      </x:c>
      <x:c r="J189" s="4" t="str">
        <x:v>以当前教材PDF为准；后续逐课引用时复核题号、图号与数据</x:v>
      </x:c>
    </x:row>
    <x:row r="190" ht="34" customHeight="1">
      <x:c r="A190" s="11" t="n">
        <x:v>133</x:v>
      </x:c>
      <x:c r="B190" s="11" t="n">
        <x:v>140</x:v>
      </x:c>
      <x:c r="C190" s="4" t="str">
        <x:v>例题</x:v>
      </x:c>
      <x:c r="D190" s="4" t="str">
        <x:v>例3 某市去年万元地区生产总值能耗为</x:v>
      </x:c>
      <x:c r="E190" s="10" t="str">
        <x:v>C11-L05</x:v>
      </x:c>
      <x:c r="F190" s="4" t="str">
        <x:v>不等式与不等式组</x:v>
      </x:c>
      <x:c r="G190" s="4" t="n">
        <x:v>11.2</x:v>
      </x:c>
      <x:c r="H190" s="4" t="str">
        <x:v>一元一次不等式的应用</x:v>
      </x:c>
      <x:c r="I190" s="14" t="str">
        <x:v>已安排</x:v>
      </x:c>
      <x:c r="J190" s="4" t="str">
        <x:v>以当前教材PDF为准；后续逐课引用时复核题号、图号与数据</x:v>
      </x:c>
    </x:row>
    <x:row r="191" ht="34" customHeight="1">
      <x:c r="A191" s="11" t="n">
        <x:v>134</x:v>
      </x:c>
      <x:c r="B191" s="11" t="n">
        <x:v>141</x:v>
      </x:c>
      <x:c r="C191" s="4" t="str">
        <x:v>整页覆盖</x:v>
      </x:c>
      <x:c r="D191" s="4" t="str">
        <x:v>本页全部正文、图表与题目</x:v>
      </x:c>
      <x:c r="E191" s="10" t="str">
        <x:v>C11-L05</x:v>
      </x:c>
      <x:c r="F191" s="4" t="str">
        <x:v>不等式与不等式组</x:v>
      </x:c>
      <x:c r="G191" s="4" t="n">
        <x:v>11.2</x:v>
      </x:c>
      <x:c r="H191" s="4" t="str">
        <x:v>一元一次不等式的应用</x:v>
      </x:c>
      <x:c r="I191" s="14" t="str">
        <x:v>已安排</x:v>
      </x:c>
      <x:c r="J191" s="4" t="str">
        <x:v>以当前教材PDF为准；后续逐课引用时复核题号、图号与数据</x:v>
      </x:c>
    </x:row>
    <x:row r="192" ht="34" customHeight="1">
      <x:c r="A192" s="11" t="n">
        <x:v>134</x:v>
      </x:c>
      <x:c r="B192" s="11" t="n">
        <x:v>141</x:v>
      </x:c>
      <x:c r="C192" s="4" t="str">
        <x:v>例题</x:v>
      </x:c>
      <x:c r="D192" s="4" t="str">
        <x:v>例4 甲、乙两超市以同样价格出售同样的商品,并且又各自推出不同的</x:v>
      </x:c>
      <x:c r="E192" s="10" t="str">
        <x:v>C11-L05</x:v>
      </x:c>
      <x:c r="F192" s="4" t="str">
        <x:v>不等式与不等式组</x:v>
      </x:c>
      <x:c r="G192" s="4" t="n">
        <x:v>11.2</x:v>
      </x:c>
      <x:c r="H192" s="4" t="str">
        <x:v>一元一次不等式的应用</x:v>
      </x:c>
      <x:c r="I192" s="14" t="str">
        <x:v>已安排</x:v>
      </x:c>
      <x:c r="J192" s="4" t="str">
        <x:v>以当前教材PDF为准；后续逐课引用时复核题号、图号与数据</x:v>
      </x:c>
    </x:row>
    <x:row r="193" ht="34" customHeight="1">
      <x:c r="A193" s="11" t="n">
        <x:v>135</x:v>
      </x:c>
      <x:c r="B193" s="11" t="n">
        <x:v>142</x:v>
      </x:c>
      <x:c r="C193" s="4" t="str">
        <x:v>正文/题目</x:v>
      </x:c>
      <x:c r="D193" s="4" t="str">
        <x:v>本页全部正文、图表与题目</x:v>
      </x:c>
      <x:c r="E193" s="10" t="str">
        <x:v>C11-L05</x:v>
      </x:c>
      <x:c r="F193" s="4" t="str">
        <x:v>不等式与不等式组</x:v>
      </x:c>
      <x:c r="G193" s="4" t="n">
        <x:v>11.2</x:v>
      </x:c>
      <x:c r="H193" s="4" t="str">
        <x:v>一元一次不等式的应用</x:v>
      </x:c>
      <x:c r="I193" s="14" t="str">
        <x:v>已安排</x:v>
      </x:c>
      <x:c r="J193" s="4" t="str">
        <x:v>以当前教材PDF为准；后续逐课引用时复核题号、图号与数据</x:v>
      </x:c>
    </x:row>
    <x:row r="194" ht="34" customHeight="1">
      <x:c r="A194" s="11" t="n">
        <x:v>136</x:v>
      </x:c>
      <x:c r="B194" s="11" t="n">
        <x:v>143</x:v>
      </x:c>
      <x:c r="C194" s="4" t="str">
        <x:v>正文/题目</x:v>
      </x:c>
      <x:c r="D194" s="4" t="str">
        <x:v>本页全部正文、图表与题目</x:v>
      </x:c>
      <x:c r="E194" s="10" t="str">
        <x:v>C11-L05</x:v>
      </x:c>
      <x:c r="F194" s="4" t="str">
        <x:v>不等式与不等式组</x:v>
      </x:c>
      <x:c r="G194" s="4" t="n">
        <x:v>11.2</x:v>
      </x:c>
      <x:c r="H194" s="4" t="str">
        <x:v>一元一次不等式的应用</x:v>
      </x:c>
      <x:c r="I194" s="14" t="str">
        <x:v>已安排</x:v>
      </x:c>
      <x:c r="J194" s="4" t="str">
        <x:v>以当前教材PDF为准；后续逐课引用时复核题号、图号与数据</x:v>
      </x:c>
    </x:row>
    <x:row r="195" ht="34" customHeight="1">
      <x:c r="A195" s="11" t="n">
        <x:v>137</x:v>
      </x:c>
      <x:c r="B195" s="11" t="n">
        <x:v>144</x:v>
      </x:c>
      <x:c r="C195" s="4" t="str">
        <x:v>正文/题目</x:v>
      </x:c>
      <x:c r="D195" s="4" t="str">
        <x:v>本页全部正文、图表与题目</x:v>
      </x:c>
      <x:c r="E195" s="10" t="str">
        <x:v>C11-L05</x:v>
      </x:c>
      <x:c r="F195" s="4" t="str">
        <x:v>不等式与不等式组</x:v>
      </x:c>
      <x:c r="G195" s="4" t="n">
        <x:v>11.2</x:v>
      </x:c>
      <x:c r="H195" s="4" t="str">
        <x:v>一元一次不等式的应用</x:v>
      </x:c>
      <x:c r="I195" s="14" t="str">
        <x:v>已安排</x:v>
      </x:c>
      <x:c r="J195" s="4" t="str">
        <x:v>以当前教材PDF为准；后续逐课引用时复核题号、图号与数据</x:v>
      </x:c>
    </x:row>
    <x:row r="196" ht="34" customHeight="1">
      <x:c r="A196" s="11" t="n">
        <x:v>138</x:v>
      </x:c>
      <x:c r="B196" s="11" t="n">
        <x:v>145</x:v>
      </x:c>
      <x:c r="C196" s="4" t="str">
        <x:v>整页覆盖</x:v>
      </x:c>
      <x:c r="D196" s="4" t="str">
        <x:v>本页全部正文、图表与题目</x:v>
      </x:c>
      <x:c r="E196" s="10" t="str">
        <x:v>C11-L06</x:v>
      </x:c>
      <x:c r="F196" s="4" t="str">
        <x:v>不等式与不等式组</x:v>
      </x:c>
      <x:c r="G196" s="4" t="n">
        <x:v>11.3</x:v>
      </x:c>
      <x:c r="H196" s="4" t="str">
        <x:v>一元一次不等式组</x:v>
      </x:c>
      <x:c r="I196" s="14" t="str">
        <x:v>已安排</x:v>
      </x:c>
      <x:c r="J196" s="4" t="str">
        <x:v>以当前教材PDF为准；后续逐课引用时复核题号、图号与数据</x:v>
      </x:c>
    </x:row>
    <x:row r="197" ht="34" customHeight="1">
      <x:c r="A197" s="11" t="n">
        <x:v>138</x:v>
      </x:c>
      <x:c r="B197" s="11" t="n">
        <x:v>145</x:v>
      </x:c>
      <x:c r="C197" s="4" t="str">
        <x:v>节/小节</x:v>
      </x:c>
      <x:c r="D197" s="4" t="str">
        <x:v>11.3 一元一次不等式组</x:v>
      </x:c>
      <x:c r="E197" s="10" t="str">
        <x:v>C11-L06</x:v>
      </x:c>
      <x:c r="F197" s="4" t="str">
        <x:v>不等式与不等式组</x:v>
      </x:c>
      <x:c r="G197" s="4" t="n">
        <x:v>11.3</x:v>
      </x:c>
      <x:c r="H197" s="4" t="str">
        <x:v>一元一次不等式组</x:v>
      </x:c>
      <x:c r="I197" s="14" t="str">
        <x:v>已安排</x:v>
      </x:c>
      <x:c r="J197" s="4" t="str">
        <x:v>以当前教材PDF为准；后续逐课引用时复核题号、图号与数据</x:v>
      </x:c>
    </x:row>
    <x:row r="198" ht="34" customHeight="1">
      <x:c r="A198" s="11" t="n">
        <x:v>139</x:v>
      </x:c>
      <x:c r="B198" s="11" t="n">
        <x:v>146</x:v>
      </x:c>
      <x:c r="C198" s="4" t="str">
        <x:v>整页覆盖</x:v>
      </x:c>
      <x:c r="D198" s="4" t="str">
        <x:v>本页全部正文、图表与题目</x:v>
      </x:c>
      <x:c r="E198" s="10" t="str">
        <x:v>C11-L06</x:v>
      </x:c>
      <x:c r="F198" s="4" t="str">
        <x:v>不等式与不等式组</x:v>
      </x:c>
      <x:c r="G198" s="4" t="n">
        <x:v>11.3</x:v>
      </x:c>
      <x:c r="H198" s="4" t="str">
        <x:v>一元一次不等式组</x:v>
      </x:c>
      <x:c r="I198" s="14" t="str">
        <x:v>已安排</x:v>
      </x:c>
      <x:c r="J198" s="4" t="str">
        <x:v>以当前教材PDF为准；后续逐课引用时复核题号、图号与数据</x:v>
      </x:c>
    </x:row>
    <x:row r="199" ht="34" customHeight="1">
      <x:c r="A199" s="11" t="n">
        <x:v>139</x:v>
      </x:c>
      <x:c r="B199" s="11" t="n">
        <x:v>146</x:v>
      </x:c>
      <x:c r="C199" s="4" t="str">
        <x:v>例题</x:v>
      </x:c>
      <x:c r="D199" s="4" t="str">
        <x:v>例1 解下列不等式组:</x:v>
      </x:c>
      <x:c r="E199" s="10" t="str">
        <x:v>C11-L06</x:v>
      </x:c>
      <x:c r="F199" s="4" t="str">
        <x:v>不等式与不等式组</x:v>
      </x:c>
      <x:c r="G199" s="4" t="n">
        <x:v>11.3</x:v>
      </x:c>
      <x:c r="H199" s="4" t="str">
        <x:v>一元一次不等式组</x:v>
      </x:c>
      <x:c r="I199" s="14" t="str">
        <x:v>已安排</x:v>
      </x:c>
      <x:c r="J199" s="4" t="str">
        <x:v>以当前教材PDF为准；后续逐课引用时复核题号、图号与数据</x:v>
      </x:c>
    </x:row>
    <x:row r="200" ht="34" customHeight="1">
      <x:c r="A200" s="11" t="n">
        <x:v>140</x:v>
      </x:c>
      <x:c r="B200" s="11" t="n">
        <x:v>147</x:v>
      </x:c>
      <x:c r="C200" s="4" t="str">
        <x:v>整页覆盖</x:v>
      </x:c>
      <x:c r="D200" s="4" t="str">
        <x:v>本页全部正文、图表与题目</x:v>
      </x:c>
      <x:c r="E200" s="10" t="str">
        <x:v>C11-L06</x:v>
      </x:c>
      <x:c r="F200" s="4" t="str">
        <x:v>不等式与不等式组</x:v>
      </x:c>
      <x:c r="G200" s="4" t="n">
        <x:v>11.3</x:v>
      </x:c>
      <x:c r="H200" s="4" t="str">
        <x:v>一元一次不等式组</x:v>
      </x:c>
      <x:c r="I200" s="14" t="str">
        <x:v>已安排</x:v>
      </x:c>
      <x:c r="J200" s="4" t="str">
        <x:v>以当前教材PDF为准；后续逐课引用时复核题号、图号与数据</x:v>
      </x:c>
    </x:row>
    <x:row r="201" ht="34" customHeight="1">
      <x:c r="A201" s="11" t="n">
        <x:v>140</x:v>
      </x:c>
      <x:c r="B201" s="11" t="n">
        <x:v>147</x:v>
      </x:c>
      <x:c r="C201" s="4" t="str">
        <x:v>例题</x:v>
      </x:c>
      <x:c r="D201" s="4" t="str">
        <x:v>例2 狓取哪些整数值时,不等式5狓+2&gt;3(狓-1)与 狓-1≤7- 狓都</x:v>
      </x:c>
      <x:c r="E201" s="10" t="str">
        <x:v>C11-L06</x:v>
      </x:c>
      <x:c r="F201" s="4" t="str">
        <x:v>不等式与不等式组</x:v>
      </x:c>
      <x:c r="G201" s="4" t="n">
        <x:v>11.3</x:v>
      </x:c>
      <x:c r="H201" s="4" t="str">
        <x:v>一元一次不等式组</x:v>
      </x:c>
      <x:c r="I201" s="14" t="str">
        <x:v>已安排</x:v>
      </x:c>
      <x:c r="J201" s="4" t="str">
        <x:v>以当前教材PDF为准；后续逐课引用时复核题号、图号与数据</x:v>
      </x:c>
    </x:row>
    <x:row r="202" ht="34" customHeight="1">
      <x:c r="A202" s="11" t="n">
        <x:v>141</x:v>
      </x:c>
      <x:c r="B202" s="11" t="n">
        <x:v>148</x:v>
      </x:c>
      <x:c r="C202" s="4" t="str">
        <x:v>正文/题目</x:v>
      </x:c>
      <x:c r="D202" s="4" t="str">
        <x:v>本页全部正文、图表与题目</x:v>
      </x:c>
      <x:c r="E202" s="10" t="str">
        <x:v>C11-L06</x:v>
      </x:c>
      <x:c r="F202" s="4" t="str">
        <x:v>不等式与不等式组</x:v>
      </x:c>
      <x:c r="G202" s="4" t="n">
        <x:v>11.3</x:v>
      </x:c>
      <x:c r="H202" s="4" t="str">
        <x:v>一元一次不等式组</x:v>
      </x:c>
      <x:c r="I202" s="14" t="str">
        <x:v>已安排</x:v>
      </x:c>
      <x:c r="J202" s="4" t="str">
        <x:v>以当前教材PDF为准；后续逐课引用时复核题号、图号与数据</x:v>
      </x:c>
    </x:row>
    <x:row r="203" ht="34" customHeight="1">
      <x:c r="A203" s="11" t="n">
        <x:v>142</x:v>
      </x:c>
      <x:c r="B203" s="11" t="n">
        <x:v>149</x:v>
      </x:c>
      <x:c r="C203" s="4" t="str">
        <x:v>正文/题目</x:v>
      </x:c>
      <x:c r="D203" s="4" t="str">
        <x:v>本页全部正文、图表与题目</x:v>
      </x:c>
      <x:c r="E203" s="10" t="str">
        <x:v>C11-L07</x:v>
      </x:c>
      <x:c r="F203" s="4" t="str">
        <x:v>不等式与不等式组</x:v>
      </x:c>
      <x:c r="G203" s="4" t="str">
        <x:v>数学活动</x:v>
      </x:c>
      <x:c r="H203" s="4" t="str">
        <x:v>不等式与不等式组数学活动</x:v>
      </x:c>
      <x:c r="I203" s="14" t="str">
        <x:v>已安排</x:v>
      </x:c>
      <x:c r="J203" s="4" t="str">
        <x:v>以当前教材PDF为准；后续逐课引用时复核题号、图号与数据</x:v>
      </x:c>
    </x:row>
    <x:row r="204" ht="34" customHeight="1">
      <x:c r="A204" s="11" t="n">
        <x:v>143</x:v>
      </x:c>
      <x:c r="B204" s="11" t="n">
        <x:v>150</x:v>
      </x:c>
      <x:c r="C204" s="4" t="str">
        <x:v>正文/题目</x:v>
      </x:c>
      <x:c r="D204" s="4" t="str">
        <x:v>本页全部正文、图表与题目</x:v>
      </x:c>
      <x:c r="E204" s="10" t="str">
        <x:v>C11-L08</x:v>
      </x:c>
      <x:c r="F204" s="4" t="str">
        <x:v>不等式与不等式组</x:v>
      </x:c>
      <x:c r="G204" s="4" t="str">
        <x:v>小结与复习题11</x:v>
      </x:c>
      <x:c r="H204" s="4" t="str">
        <x:v>不等式与不等式组章末复习</x:v>
      </x:c>
      <x:c r="I204" s="14" t="str">
        <x:v>已安排</x:v>
      </x:c>
      <x:c r="J204" s="4" t="str">
        <x:v>以当前教材PDF为准；后续逐课引用时复核题号、图号与数据</x:v>
      </x:c>
    </x:row>
    <x:row r="205" ht="34" customHeight="1">
      <x:c r="A205" s="11" t="n">
        <x:v>144</x:v>
      </x:c>
      <x:c r="B205" s="11" t="n">
        <x:v>151</x:v>
      </x:c>
      <x:c r="C205" s="4" t="str">
        <x:v>正文/题目</x:v>
      </x:c>
      <x:c r="D205" s="4" t="str">
        <x:v>本页全部正文、图表与题目</x:v>
      </x:c>
      <x:c r="E205" s="10" t="str">
        <x:v>C11-L08</x:v>
      </x:c>
      <x:c r="F205" s="4" t="str">
        <x:v>不等式与不等式组</x:v>
      </x:c>
      <x:c r="G205" s="4" t="str">
        <x:v>小结与复习题11</x:v>
      </x:c>
      <x:c r="H205" s="4" t="str">
        <x:v>不等式与不等式组章末复习</x:v>
      </x:c>
      <x:c r="I205" s="14" t="str">
        <x:v>已安排</x:v>
      </x:c>
      <x:c r="J205" s="4" t="str">
        <x:v>以当前教材PDF为准；后续逐课引用时复核题号、图号与数据</x:v>
      </x:c>
    </x:row>
    <x:row r="206" ht="34" customHeight="1">
      <x:c r="A206" s="11" t="n">
        <x:v>145</x:v>
      </x:c>
      <x:c r="B206" s="11" t="n">
        <x:v>152</x:v>
      </x:c>
      <x:c r="C206" s="4" t="str">
        <x:v>正文/题目</x:v>
      </x:c>
      <x:c r="D206" s="4" t="str">
        <x:v>本页全部正文、图表与题目</x:v>
      </x:c>
      <x:c r="E206" s="10" t="str">
        <x:v>C11-L08</x:v>
      </x:c>
      <x:c r="F206" s="4" t="str">
        <x:v>不等式与不等式组</x:v>
      </x:c>
      <x:c r="G206" s="4" t="str">
        <x:v>小结与复习题11</x:v>
      </x:c>
      <x:c r="H206" s="4" t="str">
        <x:v>不等式与不等式组章末复习</x:v>
      </x:c>
      <x:c r="I206" s="14" t="str">
        <x:v>已安排</x:v>
      </x:c>
      <x:c r="J206" s="4" t="str">
        <x:v>以当前教材PDF为准；后续逐课引用时复核题号、图号与数据</x:v>
      </x:c>
    </x:row>
    <x:row r="207" ht="34" customHeight="1">
      <x:c r="A207" s="11" t="n">
        <x:v>146</x:v>
      </x:c>
      <x:c r="B207" s="11" t="n">
        <x:v>153</x:v>
      </x:c>
      <x:c r="C207" s="4" t="str">
        <x:v>整页覆盖</x:v>
      </x:c>
      <x:c r="D207" s="4" t="str">
        <x:v>本页全部正文、图表与题目</x:v>
      </x:c>
      <x:c r="E207" s="10" t="str">
        <x:v>C11-L09</x:v>
      </x:c>
      <x:c r="F207" s="4" t="str">
        <x:v>不等式与不等式组</x:v>
      </x:c>
      <x:c r="G207" s="4" t="str">
        <x:v>综合与实践</x:v>
      </x:c>
      <x:c r="H207" s="4" t="str">
        <x:v>低碳生活</x:v>
      </x:c>
      <x:c r="I207" s="14" t="str">
        <x:v>已安排</x:v>
      </x:c>
      <x:c r="J207" s="4" t="str">
        <x:v>以当前教材PDF为准；后续逐课引用时复核题号、图号与数据</x:v>
      </x:c>
    </x:row>
    <x:row r="208" ht="34" customHeight="1">
      <x:c r="A208" s="11" t="n">
        <x:v>146</x:v>
      </x:c>
      <x:c r="B208" s="11" t="n">
        <x:v>153</x:v>
      </x:c>
      <x:c r="C208" s="4" t="str">
        <x:v>教材栏目</x:v>
      </x:c>
      <x:c r="D208" s="4" t="str">
        <x:v>综合与实践</x:v>
      </x:c>
      <x:c r="E208" s="10" t="str">
        <x:v>C11-L09</x:v>
      </x:c>
      <x:c r="F208" s="4" t="str">
        <x:v>不等式与不等式组</x:v>
      </x:c>
      <x:c r="G208" s="4" t="str">
        <x:v>综合与实践</x:v>
      </x:c>
      <x:c r="H208" s="4" t="str">
        <x:v>低碳生活</x:v>
      </x:c>
      <x:c r="I208" s="14" t="str">
        <x:v>已安排</x:v>
      </x:c>
      <x:c r="J208" s="4" t="str">
        <x:v>以当前教材PDF为准；后续逐课引用时复核题号、图号与数据</x:v>
      </x:c>
    </x:row>
    <x:row r="209" ht="34" customHeight="1">
      <x:c r="A209" s="11" t="n">
        <x:v>146</x:v>
      </x:c>
      <x:c r="B209" s="11" t="n">
        <x:v>153</x:v>
      </x:c>
      <x:c r="C209" s="4" t="str">
        <x:v>教材栏目</x:v>
      </x:c>
      <x:c r="D209" s="4" t="str">
        <x:v>146综合与实践 低碳生活</x:v>
      </x:c>
      <x:c r="E209" s="10" t="str">
        <x:v>C11-L09</x:v>
      </x:c>
      <x:c r="F209" s="4" t="str">
        <x:v>不等式与不等式组</x:v>
      </x:c>
      <x:c r="G209" s="4" t="str">
        <x:v>综合与实践</x:v>
      </x:c>
      <x:c r="H209" s="4" t="str">
        <x:v>低碳生活</x:v>
      </x:c>
      <x:c r="I209" s="14" t="str">
        <x:v>已安排</x:v>
      </x:c>
      <x:c r="J209" s="4" t="str">
        <x:v>以当前教材PDF为准；后续逐课引用时复核题号、图号与数据</x:v>
      </x:c>
    </x:row>
    <x:row r="210" ht="34" customHeight="1">
      <x:c r="A210" s="11" t="n">
        <x:v>147</x:v>
      </x:c>
      <x:c r="B210" s="11" t="n">
        <x:v>154</x:v>
      </x:c>
      <x:c r="C210" s="4" t="str">
        <x:v>整页覆盖</x:v>
      </x:c>
      <x:c r="D210" s="4" t="str">
        <x:v>本页全部正文、图表与题目</x:v>
      </x:c>
      <x:c r="E210" s="10" t="str">
        <x:v>C11-L09</x:v>
      </x:c>
      <x:c r="F210" s="4" t="str">
        <x:v>不等式与不等式组</x:v>
      </x:c>
      <x:c r="G210" s="4" t="str">
        <x:v>综合与实践</x:v>
      </x:c>
      <x:c r="H210" s="4" t="str">
        <x:v>低碳生活</x:v>
      </x:c>
      <x:c r="I210" s="14" t="str">
        <x:v>已安排</x:v>
      </x:c>
      <x:c r="J210" s="4" t="str">
        <x:v>以当前教材PDF为准；后续逐课引用时复核题号、图号与数据</x:v>
      </x:c>
    </x:row>
    <x:row r="211" ht="34" customHeight="1">
      <x:c r="A211" s="11" t="n">
        <x:v>147</x:v>
      </x:c>
      <x:c r="B211" s="11" t="n">
        <x:v>154</x:v>
      </x:c>
      <x:c r="C211" s="4" t="str">
        <x:v>教材栏目</x:v>
      </x:c>
      <x:c r="D211" s="4" t="str">
        <x:v>综合与实践 低碳生活147</x:v>
      </x:c>
      <x:c r="E211" s="10" t="str">
        <x:v>C11-L09</x:v>
      </x:c>
      <x:c r="F211" s="4" t="str">
        <x:v>不等式与不等式组</x:v>
      </x:c>
      <x:c r="G211" s="4" t="str">
        <x:v>综合与实践</x:v>
      </x:c>
      <x:c r="H211" s="4" t="str">
        <x:v>低碳生活</x:v>
      </x:c>
      <x:c r="I211" s="14" t="str">
        <x:v>已安排</x:v>
      </x:c>
      <x:c r="J211" s="4" t="str">
        <x:v>以当前教材PDF为准；后续逐课引用时复核题号、图号与数据</x:v>
      </x:c>
    </x:row>
    <x:row r="212" ht="34" customHeight="1">
      <x:c r="A212" s="11" t="n">
        <x:v>148</x:v>
      </x:c>
      <x:c r="B212" s="11" t="n">
        <x:v>155</x:v>
      </x:c>
      <x:c r="C212" s="4" t="str">
        <x:v>整页覆盖</x:v>
      </x:c>
      <x:c r="D212" s="4" t="str">
        <x:v>本页全部正文、图表与题目</x:v>
      </x:c>
      <x:c r="E212" s="10" t="str">
        <x:v>C11-L09</x:v>
      </x:c>
      <x:c r="F212" s="4" t="str">
        <x:v>不等式与不等式组</x:v>
      </x:c>
      <x:c r="G212" s="4" t="str">
        <x:v>综合与实践</x:v>
      </x:c>
      <x:c r="H212" s="4" t="str">
        <x:v>低碳生活</x:v>
      </x:c>
      <x:c r="I212" s="14" t="str">
        <x:v>已安排</x:v>
      </x:c>
      <x:c r="J212" s="4" t="str">
        <x:v>以当前教材PDF为准；后续逐课引用时复核题号、图号与数据</x:v>
      </x:c>
    </x:row>
    <x:row r="213" ht="34" customHeight="1">
      <x:c r="A213" s="11" t="n">
        <x:v>148</x:v>
      </x:c>
      <x:c r="B213" s="11" t="n">
        <x:v>155</x:v>
      </x:c>
      <x:c r="C213" s="4" t="str">
        <x:v>教材栏目</x:v>
      </x:c>
      <x:c r="D213" s="4" t="str">
        <x:v>本次综合与实践活动需要团队协作.在班级中组成5~8人一组的研究小</x:v>
      </x:c>
      <x:c r="E213" s="10" t="str">
        <x:v>C11-L09</x:v>
      </x:c>
      <x:c r="F213" s="4" t="str">
        <x:v>不等式与不等式组</x:v>
      </x:c>
      <x:c r="G213" s="4" t="str">
        <x:v>综合与实践</x:v>
      </x:c>
      <x:c r="H213" s="4" t="str">
        <x:v>低碳生活</x:v>
      </x:c>
      <x:c r="I213" s="14" t="str">
        <x:v>已安排</x:v>
      </x:c>
      <x:c r="J213" s="4" t="str">
        <x:v>以当前教材PDF为准；后续逐课引用时复核题号、图号与数据</x:v>
      </x:c>
    </x:row>
    <x:row r="214" ht="34" customHeight="1">
      <x:c r="A214" s="11" t="n">
        <x:v>148</x:v>
      </x:c>
      <x:c r="B214" s="11" t="n">
        <x:v>155</x:v>
      </x:c>
      <x:c r="C214" s="4" t="str">
        <x:v>教材栏目</x:v>
      </x:c>
      <x:c r="D214" s="4" t="str">
        <x:v>148综合与实践 低碳生活</x:v>
      </x:c>
      <x:c r="E214" s="10" t="str">
        <x:v>C11-L09</x:v>
      </x:c>
      <x:c r="F214" s="4" t="str">
        <x:v>不等式与不等式组</x:v>
      </x:c>
      <x:c r="G214" s="4" t="str">
        <x:v>综合与实践</x:v>
      </x:c>
      <x:c r="H214" s="4" t="str">
        <x:v>低碳生活</x:v>
      </x:c>
      <x:c r="I214" s="14" t="str">
        <x:v>已安排</x:v>
      </x:c>
      <x:c r="J214" s="4" t="str">
        <x:v>以当前教材PDF为准；后续逐课引用时复核题号、图号与数据</x:v>
      </x:c>
    </x:row>
    <x:row r="215" ht="34" customHeight="1">
      <x:c r="A215" s="11" t="n">
        <x:v>149</x:v>
      </x:c>
      <x:c r="B215" s="11" t="n">
        <x:v>156</x:v>
      </x:c>
      <x:c r="C215" s="4" t="str">
        <x:v>整页覆盖</x:v>
      </x:c>
      <x:c r="D215" s="4" t="str">
        <x:v>本页全部正文、图表与题目</x:v>
      </x:c>
      <x:c r="E215" s="10" t="str">
        <x:v>C11-L09</x:v>
      </x:c>
      <x:c r="F215" s="4" t="str">
        <x:v>不等式与不等式组</x:v>
      </x:c>
      <x:c r="G215" s="4" t="str">
        <x:v>综合与实践</x:v>
      </x:c>
      <x:c r="H215" s="4" t="str">
        <x:v>低碳生活</x:v>
      </x:c>
      <x:c r="I215" s="14" t="str">
        <x:v>已安排</x:v>
      </x:c>
      <x:c r="J215" s="4" t="str">
        <x:v>以当前教材PDF为准；后续逐课引用时复核题号、图号与数据</x:v>
      </x:c>
    </x:row>
    <x:row r="216" ht="34" customHeight="1">
      <x:c r="A216" s="11" t="n">
        <x:v>149</x:v>
      </x:c>
      <x:c r="B216" s="11" t="n">
        <x:v>156</x:v>
      </x:c>
      <x:c r="C216" s="4" t="str">
        <x:v>教材栏目</x:v>
      </x:c>
      <x:c r="D216" s="4" t="str">
        <x:v>和教师评价,完成本次综合与实践活动.</x:v>
      </x:c>
      <x:c r="E216" s="10" t="str">
        <x:v>C11-L09</x:v>
      </x:c>
      <x:c r="F216" s="4" t="str">
        <x:v>不等式与不等式组</x:v>
      </x:c>
      <x:c r="G216" s="4" t="str">
        <x:v>综合与实践</x:v>
      </x:c>
      <x:c r="H216" s="4" t="str">
        <x:v>低碳生活</x:v>
      </x:c>
      <x:c r="I216" s="14" t="str">
        <x:v>已安排</x:v>
      </x:c>
      <x:c r="J216" s="4" t="str">
        <x:v>以当前教材PDF为准；后续逐课引用时复核题号、图号与数据</x:v>
      </x:c>
    </x:row>
    <x:row r="217" ht="34" customHeight="1">
      <x:c r="A217" s="11" t="n">
        <x:v>149</x:v>
      </x:c>
      <x:c r="B217" s="11" t="n">
        <x:v>156</x:v>
      </x:c>
      <x:c r="C217" s="4" t="str">
        <x:v>教材栏目</x:v>
      </x:c>
      <x:c r="D217" s="4" t="str">
        <x:v>综合与实践 低碳生活149</x:v>
      </x:c>
      <x:c r="E217" s="10" t="str">
        <x:v>C11-L09</x:v>
      </x:c>
      <x:c r="F217" s="4" t="str">
        <x:v>不等式与不等式组</x:v>
      </x:c>
      <x:c r="G217" s="4" t="str">
        <x:v>综合与实践</x:v>
      </x:c>
      <x:c r="H217" s="4" t="str">
        <x:v>低碳生活</x:v>
      </x:c>
      <x:c r="I217" s="14" t="str">
        <x:v>已安排</x:v>
      </x:c>
      <x:c r="J217" s="4" t="str">
        <x:v>以当前教材PDF为准；后续逐课引用时复核题号、图号与数据</x:v>
      </x:c>
    </x:row>
    <x:row r="218" ht="34" customHeight="1">
      <x:c r="A218" s="11" t="n">
        <x:v>150</x:v>
      </x:c>
      <x:c r="B218" s="11" t="n">
        <x:v>157</x:v>
      </x:c>
      <x:c r="C218" s="4" t="str">
        <x:v>正文/题目</x:v>
      </x:c>
      <x:c r="D218" s="4" t="str">
        <x:v>本页全部正文、图表与题目</x:v>
      </x:c>
      <x:c r="E218" s="10" t="str">
        <x:v>C12-L01</x:v>
      </x:c>
      <x:c r="F218" s="4" t="str">
        <x:v>数据的收集、整理与描述</x:v>
      </x:c>
      <x:c r="G218" s="4" t="n">
        <x:v>12.1</x:v>
      </x:c>
      <x:c r="H218" s="4" t="str">
        <x:v>全面调查与数据整理</x:v>
      </x:c>
      <x:c r="I218" s="14" t="str">
        <x:v>已安排</x:v>
      </x:c>
      <x:c r="J218" s="4" t="str">
        <x:v>以当前教材PDF为准；后续逐课引用时复核题号、图号与数据</x:v>
      </x:c>
    </x:row>
    <x:row r="219" ht="34" customHeight="1">
      <x:c r="A219" s="11" t="n">
        <x:v>151</x:v>
      </x:c>
      <x:c r="B219" s="11" t="n">
        <x:v>158</x:v>
      </x:c>
      <x:c r="C219" s="4" t="str">
        <x:v>整页覆盖</x:v>
      </x:c>
      <x:c r="D219" s="4" t="str">
        <x:v>本页全部正文、图表与题目</x:v>
      </x:c>
      <x:c r="E219" s="10" t="str">
        <x:v>C12-L01</x:v>
      </x:c>
      <x:c r="F219" s="4" t="str">
        <x:v>数据的收集、整理与描述</x:v>
      </x:c>
      <x:c r="G219" s="4" t="n">
        <x:v>12.1</x:v>
      </x:c>
      <x:c r="H219" s="4" t="str">
        <x:v>全面调查与数据整理</x:v>
      </x:c>
      <x:c r="I219" s="14" t="str">
        <x:v>已安排</x:v>
      </x:c>
      <x:c r="J219" s="4" t="str">
        <x:v>以当前教材PDF为准；后续逐课引用时复核题号、图号与数据</x:v>
      </x:c>
    </x:row>
    <x:row r="220" ht="34" customHeight="1">
      <x:c r="A220" s="11" t="n">
        <x:v>151</x:v>
      </x:c>
      <x:c r="B220" s="11" t="n">
        <x:v>158</x:v>
      </x:c>
      <x:c r="C220" s="4" t="str">
        <x:v>节/小节</x:v>
      </x:c>
      <x:c r="D220" s="4" t="str">
        <x:v>12.1 统计调查</x:v>
      </x:c>
      <x:c r="E220" s="10" t="str">
        <x:v>C12-L01</x:v>
      </x:c>
      <x:c r="F220" s="4" t="str">
        <x:v>数据的收集、整理与描述</x:v>
      </x:c>
      <x:c r="G220" s="4" t="n">
        <x:v>12.1</x:v>
      </x:c>
      <x:c r="H220" s="4" t="str">
        <x:v>全面调查与数据整理</x:v>
      </x:c>
      <x:c r="I220" s="14" t="str">
        <x:v>已安排</x:v>
      </x:c>
      <x:c r="J220" s="4" t="str">
        <x:v>以当前教材PDF为准；后续逐课引用时复核题号、图号与数据</x:v>
      </x:c>
    </x:row>
    <x:row r="221" ht="34" customHeight="1">
      <x:c r="A221" s="11" t="n">
        <x:v>152</x:v>
      </x:c>
      <x:c r="B221" s="11" t="n">
        <x:v>159</x:v>
      </x:c>
      <x:c r="C221" s="4" t="str">
        <x:v>正文/题目</x:v>
      </x:c>
      <x:c r="D221" s="4" t="str">
        <x:v>本页全部正文、图表与题目</x:v>
      </x:c>
      <x:c r="E221" s="10" t="str">
        <x:v>C12-L01</x:v>
      </x:c>
      <x:c r="F221" s="4" t="str">
        <x:v>数据的收集、整理与描述</x:v>
      </x:c>
      <x:c r="G221" s="4" t="n">
        <x:v>12.1</x:v>
      </x:c>
      <x:c r="H221" s="4" t="str">
        <x:v>全面调查与数据整理</x:v>
      </x:c>
      <x:c r="I221" s="14" t="str">
        <x:v>已安排</x:v>
      </x:c>
      <x:c r="J221" s="4" t="str">
        <x:v>以当前教材PDF为准；后续逐课引用时复核题号、图号与数据</x:v>
      </x:c>
    </x:row>
    <x:row r="222" ht="34" customHeight="1">
      <x:c r="A222" s="11" t="n">
        <x:v>153</x:v>
      </x:c>
      <x:c r="B222" s="11" t="n">
        <x:v>160</x:v>
      </x:c>
      <x:c r="C222" s="4" t="str">
        <x:v>正文/题目</x:v>
      </x:c>
      <x:c r="D222" s="4" t="str">
        <x:v>本页全部正文、图表与题目</x:v>
      </x:c>
      <x:c r="E222" s="10" t="str">
        <x:v>C12-L01</x:v>
      </x:c>
      <x:c r="F222" s="4" t="str">
        <x:v>数据的收集、整理与描述</x:v>
      </x:c>
      <x:c r="G222" s="4" t="n">
        <x:v>12.1</x:v>
      </x:c>
      <x:c r="H222" s="4" t="str">
        <x:v>全面调查与数据整理</x:v>
      </x:c>
      <x:c r="I222" s="14" t="str">
        <x:v>已安排</x:v>
      </x:c>
      <x:c r="J222" s="4" t="str">
        <x:v>以当前教材PDF为准；后续逐课引用时复核题号、图号与数据</x:v>
      </x:c>
    </x:row>
    <x:row r="223" ht="34" customHeight="1">
      <x:c r="A223" s="11" t="n">
        <x:v>154</x:v>
      </x:c>
      <x:c r="B223" s="11" t="n">
        <x:v>161</x:v>
      </x:c>
      <x:c r="C223" s="4" t="str">
        <x:v>正文/题目</x:v>
      </x:c>
      <x:c r="D223" s="4" t="str">
        <x:v>本页全部正文、图表与题目</x:v>
      </x:c>
      <x:c r="E223" s="10" t="str">
        <x:v>C12-L02</x:v>
      </x:c>
      <x:c r="F223" s="4" t="str">
        <x:v>数据的收集、整理与描述</x:v>
      </x:c>
      <x:c r="G223" s="4" t="n">
        <x:v>12.1</x:v>
      </x:c>
      <x:c r="H223" s="4" t="str">
        <x:v>抽样调查</x:v>
      </x:c>
      <x:c r="I223" s="14" t="str">
        <x:v>已安排</x:v>
      </x:c>
      <x:c r="J223" s="4" t="str">
        <x:v>以当前教材PDF为准；后续逐课引用时复核题号、图号与数据</x:v>
      </x:c>
    </x:row>
    <x:row r="224" ht="34" customHeight="1">
      <x:c r="A224" s="11" t="n">
        <x:v>155</x:v>
      </x:c>
      <x:c r="B224" s="11" t="n">
        <x:v>162</x:v>
      </x:c>
      <x:c r="C224" s="4" t="str">
        <x:v>正文/题目</x:v>
      </x:c>
      <x:c r="D224" s="4" t="str">
        <x:v>本页全部正文、图表与题目</x:v>
      </x:c>
      <x:c r="E224" s="10" t="str">
        <x:v>C12-L02</x:v>
      </x:c>
      <x:c r="F224" s="4" t="str">
        <x:v>数据的收集、整理与描述</x:v>
      </x:c>
      <x:c r="G224" s="4" t="n">
        <x:v>12.1</x:v>
      </x:c>
      <x:c r="H224" s="4" t="str">
        <x:v>抽样调查</x:v>
      </x:c>
      <x:c r="I224" s="14" t="str">
        <x:v>已安排</x:v>
      </x:c>
      <x:c r="J224" s="4" t="str">
        <x:v>以当前教材PDF为准；后续逐课引用时复核题号、图号与数据</x:v>
      </x:c>
    </x:row>
    <x:row r="225" ht="34" customHeight="1">
      <x:c r="A225" s="11" t="n">
        <x:v>156</x:v>
      </x:c>
      <x:c r="B225" s="11" t="n">
        <x:v>163</x:v>
      </x:c>
      <x:c r="C225" s="4" t="str">
        <x:v>正文/题目</x:v>
      </x:c>
      <x:c r="D225" s="4" t="str">
        <x:v>本页全部正文、图表与题目</x:v>
      </x:c>
      <x:c r="E225" s="10" t="str">
        <x:v>C12-L03</x:v>
      </x:c>
      <x:c r="F225" s="4" t="str">
        <x:v>数据的收集、整理与描述</x:v>
      </x:c>
      <x:c r="G225" s="4" t="str">
        <x:v>12.1-探究与发现</x:v>
      </x:c>
      <x:c r="H225" s="4" t="str">
        <x:v>统计调查的选择与实践</x:v>
      </x:c>
      <x:c r="I225" s="14" t="str">
        <x:v>已安排</x:v>
      </x:c>
      <x:c r="J225" s="4" t="str">
        <x:v>以当前教材PDF为准；后续逐课引用时复核题号、图号与数据</x:v>
      </x:c>
    </x:row>
    <x:row r="226" ht="34" customHeight="1">
      <x:c r="A226" s="11" t="n">
        <x:v>157</x:v>
      </x:c>
      <x:c r="B226" s="11" t="n">
        <x:v>164</x:v>
      </x:c>
      <x:c r="C226" s="4" t="str">
        <x:v>正文/题目</x:v>
      </x:c>
      <x:c r="D226" s="4" t="str">
        <x:v>本页全部正文、图表与题目</x:v>
      </x:c>
      <x:c r="E226" s="10" t="str">
        <x:v>C12-L03</x:v>
      </x:c>
      <x:c r="F226" s="4" t="str">
        <x:v>数据的收集、整理与描述</x:v>
      </x:c>
      <x:c r="G226" s="4" t="str">
        <x:v>12.1-探究与发现</x:v>
      </x:c>
      <x:c r="H226" s="4" t="str">
        <x:v>统计调查的选择与实践</x:v>
      </x:c>
      <x:c r="I226" s="14" t="str">
        <x:v>已安排</x:v>
      </x:c>
      <x:c r="J226" s="4" t="str">
        <x:v>以当前教材PDF为准；后续逐课引用时复核题号、图号与数据</x:v>
      </x:c>
    </x:row>
    <x:row r="227" ht="34" customHeight="1">
      <x:c r="A227" s="11" t="n">
        <x:v>158</x:v>
      </x:c>
      <x:c r="B227" s="11" t="n">
        <x:v>165</x:v>
      </x:c>
      <x:c r="C227" s="4" t="str">
        <x:v>正文/题目</x:v>
      </x:c>
      <x:c r="D227" s="4" t="str">
        <x:v>本页全部正文、图表与题目</x:v>
      </x:c>
      <x:c r="E227" s="10" t="str">
        <x:v>C12-L03</x:v>
      </x:c>
      <x:c r="F227" s="4" t="str">
        <x:v>数据的收集、整理与描述</x:v>
      </x:c>
      <x:c r="G227" s="4" t="str">
        <x:v>12.1-探究与发现</x:v>
      </x:c>
      <x:c r="H227" s="4" t="str">
        <x:v>统计调查的选择与实践</x:v>
      </x:c>
      <x:c r="I227" s="14" t="str">
        <x:v>已安排</x:v>
      </x:c>
      <x:c r="J227" s="4" t="str">
        <x:v>以当前教材PDF为准；后续逐课引用时复核题号、图号与数据</x:v>
      </x:c>
    </x:row>
    <x:row r="228" ht="34" customHeight="1">
      <x:c r="A228" s="11" t="n">
        <x:v>159</x:v>
      </x:c>
      <x:c r="B228" s="11" t="n">
        <x:v>166</x:v>
      </x:c>
      <x:c r="C228" s="4" t="str">
        <x:v>正文/题目</x:v>
      </x:c>
      <x:c r="D228" s="4" t="str">
        <x:v>本页全部正文、图表与题目</x:v>
      </x:c>
      <x:c r="E228" s="10" t="str">
        <x:v>C12-L03</x:v>
      </x:c>
      <x:c r="F228" s="4" t="str">
        <x:v>数据的收集、整理与描述</x:v>
      </x:c>
      <x:c r="G228" s="4" t="str">
        <x:v>12.1-探究与发现</x:v>
      </x:c>
      <x:c r="H228" s="4" t="str">
        <x:v>统计调查的选择与实践</x:v>
      </x:c>
      <x:c r="I228" s="14" t="str">
        <x:v>已安排</x:v>
      </x:c>
      <x:c r="J228" s="4" t="str">
        <x:v>以当前教材PDF为准；后续逐课引用时复核题号、图号与数据</x:v>
      </x:c>
    </x:row>
    <x:row r="229" ht="34" customHeight="1">
      <x:c r="A229" s="11" t="n">
        <x:v>160</x:v>
      </x:c>
      <x:c r="B229" s="11" t="n">
        <x:v>167</x:v>
      </x:c>
      <x:c r="C229" s="4" t="str">
        <x:v>整页覆盖</x:v>
      </x:c>
      <x:c r="D229" s="4" t="str">
        <x:v>本页全部正文、图表与题目</x:v>
      </x:c>
      <x:c r="E229" s="10" t="str">
        <x:v>C12-L04</x:v>
      </x:c>
      <x:c r="F229" s="4" t="str">
        <x:v>数据的收集、整理与描述</x:v>
      </x:c>
      <x:c r="G229" s="4" t="n">
        <x:v>12.2</x:v>
      </x:c>
      <x:c r="H229" s="4" t="str">
        <x:v>条形图与扇形图</x:v>
      </x:c>
      <x:c r="I229" s="14" t="str">
        <x:v>已安排</x:v>
      </x:c>
      <x:c r="J229" s="4" t="str">
        <x:v>以当前教材PDF为准；后续逐课引用时复核题号、图号与数据</x:v>
      </x:c>
    </x:row>
    <x:row r="230" ht="34" customHeight="1">
      <x:c r="A230" s="11" t="n">
        <x:v>160</x:v>
      </x:c>
      <x:c r="B230" s="11" t="n">
        <x:v>167</x:v>
      </x:c>
      <x:c r="C230" s="4" t="str">
        <x:v>节/小节</x:v>
      </x:c>
      <x:c r="D230" s="4" t="str">
        <x:v>12.2 用统计图描述数据</x:v>
      </x:c>
      <x:c r="E230" s="10" t="str">
        <x:v>C12-L04</x:v>
      </x:c>
      <x:c r="F230" s="4" t="str">
        <x:v>数据的收集、整理与描述</x:v>
      </x:c>
      <x:c r="G230" s="4" t="n">
        <x:v>12.2</x:v>
      </x:c>
      <x:c r="H230" s="4" t="str">
        <x:v>条形图与扇形图</x:v>
      </x:c>
      <x:c r="I230" s="14" t="str">
        <x:v>已安排</x:v>
      </x:c>
      <x:c r="J230" s="4" t="str">
        <x:v>以当前教材PDF为准；后续逐课引用时复核题号、图号与数据</x:v>
      </x:c>
    </x:row>
    <x:row r="231" ht="34" customHeight="1">
      <x:c r="A231" s="11" t="n">
        <x:v>160</x:v>
      </x:c>
      <x:c r="B231" s="11" t="n">
        <x:v>167</x:v>
      </x:c>
      <x:c r="C231" s="4" t="str">
        <x:v>例题</x:v>
      </x:c>
      <x:c r="D231" s="4" t="str">
        <x:v>例1 体重指数 (BMI)是衡量人体胖瘦程度的常用指标 (BMI= ).</x:v>
      </x:c>
      <x:c r="E231" s="10" t="str">
        <x:v>C12-L04</x:v>
      </x:c>
      <x:c r="F231" s="4" t="str">
        <x:v>数据的收集、整理与描述</x:v>
      </x:c>
      <x:c r="G231" s="4" t="n">
        <x:v>12.2</x:v>
      </x:c>
      <x:c r="H231" s="4" t="str">
        <x:v>条形图与扇形图</x:v>
      </x:c>
      <x:c r="I231" s="14" t="str">
        <x:v>已安排</x:v>
      </x:c>
      <x:c r="J231" s="4" t="str">
        <x:v>以当前教材PDF为准；后续逐课引用时复核题号、图号与数据</x:v>
      </x:c>
    </x:row>
    <x:row r="232" ht="34" customHeight="1">
      <x:c r="A232" s="11" t="n">
        <x:v>161</x:v>
      </x:c>
      <x:c r="B232" s="11" t="n">
        <x:v>168</x:v>
      </x:c>
      <x:c r="C232" s="4" t="str">
        <x:v>整页覆盖</x:v>
      </x:c>
      <x:c r="D232" s="4" t="str">
        <x:v>本页全部正文、图表与题目</x:v>
      </x:c>
      <x:c r="E232" s="10" t="str">
        <x:v>C12-L04</x:v>
      </x:c>
      <x:c r="F232" s="4" t="str">
        <x:v>数据的收集、整理与描述</x:v>
      </x:c>
      <x:c r="G232" s="4" t="n">
        <x:v>12.2</x:v>
      </x:c>
      <x:c r="H232" s="4" t="str">
        <x:v>条形图与扇形图</x:v>
      </x:c>
      <x:c r="I232" s="14" t="str">
        <x:v>已安排</x:v>
      </x:c>
      <x:c r="J232" s="4" t="str">
        <x:v>以当前教材PDF为准；后续逐课引用时复核题号、图号与数据</x:v>
      </x:c>
    </x:row>
    <x:row r="233" ht="34" customHeight="1">
      <x:c r="A233" s="11" t="n">
        <x:v>161</x:v>
      </x:c>
      <x:c r="B233" s="11" t="n">
        <x:v>168</x:v>
      </x:c>
      <x:c r="C233" s="4" t="str">
        <x:v>节/小节</x:v>
      </x:c>
      <x:c r="D233" s="4" t="str">
        <x:v>25.2 17.9 22.2 23.3 29.0 21.4 18.0 19.2</x:v>
      </x:c>
      <x:c r="E233" s="10" t="str">
        <x:v>C12-L04</x:v>
      </x:c>
      <x:c r="F233" s="4" t="str">
        <x:v>数据的收集、整理与描述</x:v>
      </x:c>
      <x:c r="G233" s="4" t="n">
        <x:v>12.2</x:v>
      </x:c>
      <x:c r="H233" s="4" t="str">
        <x:v>条形图与扇形图</x:v>
      </x:c>
      <x:c r="I233" s="14" t="str">
        <x:v>已安排</x:v>
      </x:c>
      <x:c r="J233" s="4" t="str">
        <x:v>以当前教材PDF为准；后续逐课引用时复核题号、图号与数据</x:v>
      </x:c>
    </x:row>
    <x:row r="234" ht="34" customHeight="1">
      <x:c r="A234" s="11" t="n">
        <x:v>161</x:v>
      </x:c>
      <x:c r="B234" s="11" t="n">
        <x:v>168</x:v>
      </x:c>
      <x:c r="C234" s="4" t="str">
        <x:v>节/小节</x:v>
      </x:c>
      <x:c r="D234" s="4" t="str">
        <x:v>21.0 17.5 18.9 22.9 27.2 21.2 18.8 18.3</x:v>
      </x:c>
      <x:c r="E234" s="10" t="str">
        <x:v>C12-L04</x:v>
      </x:c>
      <x:c r="F234" s="4" t="str">
        <x:v>数据的收集、整理与描述</x:v>
      </x:c>
      <x:c r="G234" s="4" t="n">
        <x:v>12.2</x:v>
      </x:c>
      <x:c r="H234" s="4" t="str">
        <x:v>条形图与扇形图</x:v>
      </x:c>
      <x:c r="I234" s="14" t="str">
        <x:v>已安排</x:v>
      </x:c>
      <x:c r="J234" s="4" t="str">
        <x:v>以当前教材PDF为准；后续逐课引用时复核题号、图号与数据</x:v>
      </x:c>
    </x:row>
    <x:row r="235" ht="34" customHeight="1">
      <x:c r="A235" s="11" t="n">
        <x:v>161</x:v>
      </x:c>
      <x:c r="B235" s="11" t="n">
        <x:v>168</x:v>
      </x:c>
      <x:c r="C235" s="4" t="str">
        <x:v>节/小节</x:v>
      </x:c>
      <x:c r="D235" s="4" t="str">
        <x:v>20.7 16.7 18.4 17.5 22.3 22.1 24.1 20.0</x:v>
      </x:c>
      <x:c r="E235" s="10" t="str">
        <x:v>C12-L04</x:v>
      </x:c>
      <x:c r="F235" s="4" t="str">
        <x:v>数据的收集、整理与描述</x:v>
      </x:c>
      <x:c r="G235" s="4" t="n">
        <x:v>12.2</x:v>
      </x:c>
      <x:c r="H235" s="4" t="str">
        <x:v>条形图与扇形图</x:v>
      </x:c>
      <x:c r="I235" s="14" t="str">
        <x:v>已安排</x:v>
      </x:c>
      <x:c r="J235" s="4" t="str">
        <x:v>以当前教材PDF为准；后续逐课引用时复核题号、图号与数据</x:v>
      </x:c>
    </x:row>
    <x:row r="236" ht="34" customHeight="1">
      <x:c r="A236" s="11" t="n">
        <x:v>161</x:v>
      </x:c>
      <x:c r="B236" s="11" t="n">
        <x:v>168</x:v>
      </x:c>
      <x:c r="C236" s="4" t="str">
        <x:v>节/小节</x:v>
      </x:c>
      <x:c r="D236" s="4" t="str">
        <x:v>34.6 17.4 21.2 22.5 26.1 21.5 20.8 19.4</x:v>
      </x:c>
      <x:c r="E236" s="10" t="str">
        <x:v>C12-L04</x:v>
      </x:c>
      <x:c r="F236" s="4" t="str">
        <x:v>数据的收集、整理与描述</x:v>
      </x:c>
      <x:c r="G236" s="4" t="n">
        <x:v>12.2</x:v>
      </x:c>
      <x:c r="H236" s="4" t="str">
        <x:v>条形图与扇形图</x:v>
      </x:c>
      <x:c r="I236" s="14" t="str">
        <x:v>已安排</x:v>
      </x:c>
      <x:c r="J236" s="4" t="str">
        <x:v>以当前教材PDF为准；后续逐课引用时复核题号、图号与数据</x:v>
      </x:c>
    </x:row>
    <x:row r="237" ht="34" customHeight="1">
      <x:c r="A237" s="11" t="n">
        <x:v>161</x:v>
      </x:c>
      <x:c r="B237" s="11" t="n">
        <x:v>168</x:v>
      </x:c>
      <x:c r="C237" s="4" t="str">
        <x:v>节/小节</x:v>
      </x:c>
      <x:c r="D237" s="4" t="str">
        <x:v>20.8 17.5 18.8 22.6 27.0 19.1 24.4 23.8</x:v>
      </x:c>
      <x:c r="E237" s="10" t="str">
        <x:v>C12-L04</x:v>
      </x:c>
      <x:c r="F237" s="4" t="str">
        <x:v>数据的收集、整理与描述</x:v>
      </x:c>
      <x:c r="G237" s="4" t="n">
        <x:v>12.2</x:v>
      </x:c>
      <x:c r="H237" s="4" t="str">
        <x:v>条形图与扇形图</x:v>
      </x:c>
      <x:c r="I237" s="14" t="str">
        <x:v>已安排</x:v>
      </x:c>
      <x:c r="J237" s="4" t="str">
        <x:v>以当前教材PDF为准；后续逐课引用时复核题号、图号与数据</x:v>
      </x:c>
    </x:row>
    <x:row r="238" ht="34" customHeight="1">
      <x:c r="A238" s="11" t="n">
        <x:v>161</x:v>
      </x:c>
      <x:c r="B238" s="11" t="n">
        <x:v>168</x:v>
      </x:c>
      <x:c r="C238" s="4" t="str">
        <x:v>节/小节</x:v>
      </x:c>
      <x:c r="D238" s="4" t="str">
        <x:v>21.7 22.1 19.5 23.7 23.7 21.4 19.7 19.3</x:v>
      </x:c>
      <x:c r="E238" s="10" t="str">
        <x:v>C12-L04</x:v>
      </x:c>
      <x:c r="F238" s="4" t="str">
        <x:v>数据的收集、整理与描述</x:v>
      </x:c>
      <x:c r="G238" s="4" t="n">
        <x:v>12.2</x:v>
      </x:c>
      <x:c r="H238" s="4" t="str">
        <x:v>条形图与扇形图</x:v>
      </x:c>
      <x:c r="I238" s="14" t="str">
        <x:v>已安排</x:v>
      </x:c>
      <x:c r="J238" s="4" t="str">
        <x:v>以当前教材PDF为准；后续逐课引用时复核题号、图号与数据</x:v>
      </x:c>
    </x:row>
    <x:row r="239" ht="34" customHeight="1">
      <x:c r="A239" s="11" t="n">
        <x:v>161</x:v>
      </x:c>
      <x:c r="B239" s="11" t="n">
        <x:v>168</x:v>
      </x:c>
      <x:c r="C239" s="4" t="str">
        <x:v>节/小节</x:v>
      </x:c>
      <x:c r="D239" s="4" t="str">
        <x:v>23.4 29.1 23.2 27.6 23.8 23.9 23.5 31.0</x:v>
      </x:c>
      <x:c r="E239" s="10" t="str">
        <x:v>C12-L04</x:v>
      </x:c>
      <x:c r="F239" s="4" t="str">
        <x:v>数据的收集、整理与描述</x:v>
      </x:c>
      <x:c r="G239" s="4" t="n">
        <x:v>12.2</x:v>
      </x:c>
      <x:c r="H239" s="4" t="str">
        <x:v>条形图与扇形图</x:v>
      </x:c>
      <x:c r="I239" s="14" t="str">
        <x:v>已安排</x:v>
      </x:c>
      <x:c r="J239" s="4" t="str">
        <x:v>以当前教材PDF为准；后续逐课引用时复核题号、图号与数据</x:v>
      </x:c>
    </x:row>
    <x:row r="240" ht="34" customHeight="1">
      <x:c r="A240" s="11" t="n">
        <x:v>161</x:v>
      </x:c>
      <x:c r="B240" s="11" t="n">
        <x:v>168</x:v>
      </x:c>
      <x:c r="C240" s="4" t="str">
        <x:v>节/小节</x:v>
      </x:c>
      <x:c r="D240" s="4" t="str">
        <x:v>18.4 23.9 23.4 31.0</x:v>
      </x:c>
      <x:c r="E240" s="10" t="str">
        <x:v>C12-L04</x:v>
      </x:c>
      <x:c r="F240" s="4" t="str">
        <x:v>数据的收集、整理与描述</x:v>
      </x:c>
      <x:c r="G240" s="4" t="n">
        <x:v>12.2</x:v>
      </x:c>
      <x:c r="H240" s="4" t="str">
        <x:v>条形图与扇形图</x:v>
      </x:c>
      <x:c r="I240" s="14" t="str">
        <x:v>已安排</x:v>
      </x:c>
      <x:c r="J240" s="4" t="str">
        <x:v>以当前教材PDF为准；后续逐课引用时复核题号、图号与数据</x:v>
      </x:c>
    </x:row>
    <x:row r="241" ht="34" customHeight="1">
      <x:c r="A241" s="11" t="n">
        <x:v>162</x:v>
      </x:c>
      <x:c r="B241" s="11" t="n">
        <x:v>169</x:v>
      </x:c>
      <x:c r="C241" s="4" t="str">
        <x:v>正文/题目</x:v>
      </x:c>
      <x:c r="D241" s="4" t="str">
        <x:v>本页全部正文、图表与题目</x:v>
      </x:c>
      <x:c r="E241" s="10" t="str">
        <x:v>C12-L04</x:v>
      </x:c>
      <x:c r="F241" s="4" t="str">
        <x:v>数据的收集、整理与描述</x:v>
      </x:c>
      <x:c r="G241" s="4" t="n">
        <x:v>12.2</x:v>
      </x:c>
      <x:c r="H241" s="4" t="str">
        <x:v>条形图与扇形图</x:v>
      </x:c>
      <x:c r="I241" s="14" t="str">
        <x:v>已安排</x:v>
      </x:c>
      <x:c r="J241" s="4" t="str">
        <x:v>以当前教材PDF为准；后续逐课引用时复核题号、图号与数据</x:v>
      </x:c>
    </x:row>
    <x:row r="242" ht="34" customHeight="1">
      <x:c r="A242" s="11" t="n">
        <x:v>163</x:v>
      </x:c>
      <x:c r="B242" s="11" t="n">
        <x:v>170</x:v>
      </x:c>
      <x:c r="C242" s="4" t="str">
        <x:v>整页覆盖</x:v>
      </x:c>
      <x:c r="D242" s="4" t="str">
        <x:v>本页全部正文、图表与题目</x:v>
      </x:c>
      <x:c r="E242" s="10" t="str">
        <x:v>C12-L05</x:v>
      </x:c>
      <x:c r="F242" s="4" t="str">
        <x:v>数据的收集、整理与描述</x:v>
      </x:c>
      <x:c r="G242" s="4" t="n">
        <x:v>12.2</x:v>
      </x:c>
      <x:c r="H242" s="4" t="str">
        <x:v>复合条形图与复合折线图</x:v>
      </x:c>
      <x:c r="I242" s="14" t="str">
        <x:v>已安排</x:v>
      </x:c>
      <x:c r="J242" s="4" t="str">
        <x:v>以当前教材PDF为准；后续逐课引用时复核题号、图号与数据</x:v>
      </x:c>
    </x:row>
    <x:row r="243" ht="34" customHeight="1">
      <x:c r="A243" s="11" t="n">
        <x:v>163</x:v>
      </x:c>
      <x:c r="B243" s="11" t="n">
        <x:v>170</x:v>
      </x:c>
      <x:c r="C243" s="4" t="str">
        <x:v>例题</x:v>
      </x:c>
      <x:c r="D243" s="4" t="str">
        <x:v>例2 表12.23是2013—2022年我国货物出口总额与进口总额的数据.请</x:v>
      </x:c>
      <x:c r="E243" s="10" t="str">
        <x:v>C12-L05</x:v>
      </x:c>
      <x:c r="F243" s="4" t="str">
        <x:v>数据的收集、整理与描述</x:v>
      </x:c>
      <x:c r="G243" s="4" t="n">
        <x:v>12.2</x:v>
      </x:c>
      <x:c r="H243" s="4" t="str">
        <x:v>复合条形图与复合折线图</x:v>
      </x:c>
      <x:c r="I243" s="14" t="str">
        <x:v>已安排</x:v>
      </x:c>
      <x:c r="J243" s="4" t="str">
        <x:v>以当前教材PDF为准；后续逐课引用时复核题号、图号与数据</x:v>
      </x:c>
    </x:row>
    <x:row r="244" ht="34" customHeight="1">
      <x:c r="A244" s="11" t="n">
        <x:v>164</x:v>
      </x:c>
      <x:c r="B244" s="11" t="n">
        <x:v>171</x:v>
      </x:c>
      <x:c r="C244" s="4" t="str">
        <x:v>正文/题目</x:v>
      </x:c>
      <x:c r="D244" s="4" t="str">
        <x:v>本页全部正文、图表与题目</x:v>
      </x:c>
      <x:c r="E244" s="10" t="str">
        <x:v>C12-L05</x:v>
      </x:c>
      <x:c r="F244" s="4" t="str">
        <x:v>数据的收集、整理与描述</x:v>
      </x:c>
      <x:c r="G244" s="4" t="n">
        <x:v>12.2</x:v>
      </x:c>
      <x:c r="H244" s="4" t="str">
        <x:v>复合条形图与复合折线图</x:v>
      </x:c>
      <x:c r="I244" s="14" t="str">
        <x:v>已安排</x:v>
      </x:c>
      <x:c r="J244" s="4" t="str">
        <x:v>以当前教材PDF为准；后续逐课引用时复核题号、图号与数据</x:v>
      </x:c>
    </x:row>
    <x:row r="245" ht="34" customHeight="1">
      <x:c r="A245" s="11" t="n">
        <x:v>165</x:v>
      </x:c>
      <x:c r="B245" s="11" t="n">
        <x:v>172</x:v>
      </x:c>
      <x:c r="C245" s="4" t="str">
        <x:v>正文/题目</x:v>
      </x:c>
      <x:c r="D245" s="4" t="str">
        <x:v>本页全部正文、图表与题目</x:v>
      </x:c>
      <x:c r="E245" s="10" t="str">
        <x:v>C12-L06</x:v>
      </x:c>
      <x:c r="F245" s="4" t="str">
        <x:v>数据的收集、整理与描述</x:v>
      </x:c>
      <x:c r="G245" s="4" t="n">
        <x:v>12.2</x:v>
      </x:c>
      <x:c r="H245" s="4" t="str">
        <x:v>频数分布表与直方图</x:v>
      </x:c>
      <x:c r="I245" s="14" t="str">
        <x:v>已安排</x:v>
      </x:c>
      <x:c r="J245" s="4" t="str">
        <x:v>以当前教材PDF为准；后续逐课引用时复核题号、图号与数据</x:v>
      </x:c>
    </x:row>
    <x:row r="246" ht="34" customHeight="1">
      <x:c r="A246" s="11" t="n">
        <x:v>166</x:v>
      </x:c>
      <x:c r="B246" s="11" t="n">
        <x:v>173</x:v>
      </x:c>
      <x:c r="C246" s="4" t="str">
        <x:v>正文/题目</x:v>
      </x:c>
      <x:c r="D246" s="4" t="str">
        <x:v>本页全部正文、图表与题目</x:v>
      </x:c>
      <x:c r="E246" s="10" t="str">
        <x:v>C12-L06</x:v>
      </x:c>
      <x:c r="F246" s="4" t="str">
        <x:v>数据的收集、整理与描述</x:v>
      </x:c>
      <x:c r="G246" s="4" t="n">
        <x:v>12.2</x:v>
      </x:c>
      <x:c r="H246" s="4" t="str">
        <x:v>频数分布表与直方图</x:v>
      </x:c>
      <x:c r="I246" s="14" t="str">
        <x:v>已安排</x:v>
      </x:c>
      <x:c r="J246" s="4" t="str">
        <x:v>以当前教材PDF为准；后续逐课引用时复核题号、图号与数据</x:v>
      </x:c>
    </x:row>
    <x:row r="247" ht="34" customHeight="1">
      <x:c r="A247" s="11" t="n">
        <x:v>167</x:v>
      </x:c>
      <x:c r="B247" s="11" t="n">
        <x:v>174</x:v>
      </x:c>
      <x:c r="C247" s="4" t="str">
        <x:v>正文/题目</x:v>
      </x:c>
      <x:c r="D247" s="4" t="str">
        <x:v>本页全部正文、图表与题目</x:v>
      </x:c>
      <x:c r="E247" s="10" t="str">
        <x:v>C12-L06</x:v>
      </x:c>
      <x:c r="F247" s="4" t="str">
        <x:v>数据的收集、整理与描述</x:v>
      </x:c>
      <x:c r="G247" s="4" t="n">
        <x:v>12.2</x:v>
      </x:c>
      <x:c r="H247" s="4" t="str">
        <x:v>频数分布表与直方图</x:v>
      </x:c>
      <x:c r="I247" s="14" t="str">
        <x:v>已安排</x:v>
      </x:c>
      <x:c r="J247" s="4" t="str">
        <x:v>以当前教材PDF为准；后续逐课引用时复核题号、图号与数据</x:v>
      </x:c>
    </x:row>
    <x:row r="248" ht="34" customHeight="1">
      <x:c r="A248" s="11" t="n">
        <x:v>168</x:v>
      </x:c>
      <x:c r="B248" s="11" t="n">
        <x:v>175</x:v>
      </x:c>
      <x:c r="C248" s="4" t="str">
        <x:v>整页覆盖</x:v>
      </x:c>
      <x:c r="D248" s="4" t="str">
        <x:v>本页全部正文、图表与题目</x:v>
      </x:c>
      <x:c r="E248" s="10" t="str">
        <x:v>C12-L07</x:v>
      </x:c>
      <x:c r="F248" s="4" t="str">
        <x:v>数据的收集、整理与描述</x:v>
      </x:c>
      <x:c r="G248" s="4" t="n">
        <x:v>12.2</x:v>
      </x:c>
      <x:c r="H248" s="4" t="str">
        <x:v>直方图的应用与解释</x:v>
      </x:c>
      <x:c r="I248" s="14" t="str">
        <x:v>已安排</x:v>
      </x:c>
      <x:c r="J248" s="4" t="str">
        <x:v>以当前教材PDF为准；后续逐课引用时复核题号、图号与数据</x:v>
      </x:c>
    </x:row>
    <x:row r="249" ht="34" customHeight="1">
      <x:c r="A249" s="11" t="n">
        <x:v>168</x:v>
      </x:c>
      <x:c r="B249" s="11" t="n">
        <x:v>175</x:v>
      </x:c>
      <x:c r="C249" s="4" t="str">
        <x:v>例题</x:v>
      </x:c>
      <x:c r="D249" s="4" t="str">
        <x:v>例3 为了考察某种大麦穗长的分布情况,在一块试验田里抽取了100根</x:v>
      </x:c>
      <x:c r="E249" s="10" t="str">
        <x:v>C12-L07</x:v>
      </x:c>
      <x:c r="F249" s="4" t="str">
        <x:v>数据的收集、整理与描述</x:v>
      </x:c>
      <x:c r="G249" s="4" t="n">
        <x:v>12.2</x:v>
      </x:c>
      <x:c r="H249" s="4" t="str">
        <x:v>直方图的应用与解释</x:v>
      </x:c>
      <x:c r="I249" s="14" t="str">
        <x:v>已安排</x:v>
      </x:c>
      <x:c r="J249" s="4" t="str">
        <x:v>以当前教材PDF为准；后续逐课引用时复核题号、图号与数据</x:v>
      </x:c>
    </x:row>
    <x:row r="250" ht="34" customHeight="1">
      <x:c r="A250" s="11" t="n">
        <x:v>168</x:v>
      </x:c>
      <x:c r="B250" s="11" t="n">
        <x:v>175</x:v>
      </x:c>
      <x:c r="C250" s="4" t="str">
        <x:v>节/小节</x:v>
      </x:c>
      <x:c r="D250" s="4" t="str">
        <x:v>6.5 6.4 6.7 5.8 5.9 5.9 5.2 4.0 5.4 4.6</x:v>
      </x:c>
      <x:c r="E250" s="10" t="str">
        <x:v>C12-L07</x:v>
      </x:c>
      <x:c r="F250" s="4" t="str">
        <x:v>数据的收集、整理与描述</x:v>
      </x:c>
      <x:c r="G250" s="4" t="n">
        <x:v>12.2</x:v>
      </x:c>
      <x:c r="H250" s="4" t="str">
        <x:v>直方图的应用与解释</x:v>
      </x:c>
      <x:c r="I250" s="14" t="str">
        <x:v>已安排</x:v>
      </x:c>
      <x:c r="J250" s="4" t="str">
        <x:v>以当前教材PDF为准；后续逐课引用时复核题号、图号与数据</x:v>
      </x:c>
    </x:row>
    <x:row r="251" ht="34" customHeight="1">
      <x:c r="A251" s="11" t="n">
        <x:v>168</x:v>
      </x:c>
      <x:c r="B251" s="11" t="n">
        <x:v>175</x:v>
      </x:c>
      <x:c r="C251" s="4" t="str">
        <x:v>节/小节</x:v>
      </x:c>
      <x:c r="D251" s="4" t="str">
        <x:v>5.8 5.5 6.0 6.5 5.1 6.5 5.3 5.9 5.5 5.8</x:v>
      </x:c>
      <x:c r="E251" s="10" t="str">
        <x:v>C12-L07</x:v>
      </x:c>
      <x:c r="F251" s="4" t="str">
        <x:v>数据的收集、整理与描述</x:v>
      </x:c>
      <x:c r="G251" s="4" t="n">
        <x:v>12.2</x:v>
      </x:c>
      <x:c r="H251" s="4" t="str">
        <x:v>直方图的应用与解释</x:v>
      </x:c>
      <x:c r="I251" s="14" t="str">
        <x:v>已安排</x:v>
      </x:c>
      <x:c r="J251" s="4" t="str">
        <x:v>以当前教材PDF为准；后续逐课引用时复核题号、图号与数据</x:v>
      </x:c>
    </x:row>
    <x:row r="252" ht="34" customHeight="1">
      <x:c r="A252" s="11" t="n">
        <x:v>168</x:v>
      </x:c>
      <x:c r="B252" s="11" t="n">
        <x:v>175</x:v>
      </x:c>
      <x:c r="C252" s="4" t="str">
        <x:v>节/小节</x:v>
      </x:c>
      <x:c r="D252" s="4" t="str">
        <x:v>6.2 5.4 5.0 5.0 6.8 6.0 5.0 5.7 6.0 5.5</x:v>
      </x:c>
      <x:c r="E252" s="10" t="str">
        <x:v>C12-L07</x:v>
      </x:c>
      <x:c r="F252" s="4" t="str">
        <x:v>数据的收集、整理与描述</x:v>
      </x:c>
      <x:c r="G252" s="4" t="n">
        <x:v>12.2</x:v>
      </x:c>
      <x:c r="H252" s="4" t="str">
        <x:v>直方图的应用与解释</x:v>
      </x:c>
      <x:c r="I252" s="14" t="str">
        <x:v>已安排</x:v>
      </x:c>
      <x:c r="J252" s="4" t="str">
        <x:v>以当前教材PDF为准；后续逐课引用时复核题号、图号与数据</x:v>
      </x:c>
    </x:row>
    <x:row r="253" ht="34" customHeight="1">
      <x:c r="A253" s="11" t="n">
        <x:v>168</x:v>
      </x:c>
      <x:c r="B253" s="11" t="n">
        <x:v>175</x:v>
      </x:c>
      <x:c r="C253" s="4" t="str">
        <x:v>节/小节</x:v>
      </x:c>
      <x:c r="D253" s="4" t="str">
        <x:v>6.8 6.0 6.3 5.5 5.0 6.3 5.2 6.0 7.0 6.4</x:v>
      </x:c>
      <x:c r="E253" s="10" t="str">
        <x:v>C12-L07</x:v>
      </x:c>
      <x:c r="F253" s="4" t="str">
        <x:v>数据的收集、整理与描述</x:v>
      </x:c>
      <x:c r="G253" s="4" t="n">
        <x:v>12.2</x:v>
      </x:c>
      <x:c r="H253" s="4" t="str">
        <x:v>直方图的应用与解释</x:v>
      </x:c>
      <x:c r="I253" s="14" t="str">
        <x:v>已安排</x:v>
      </x:c>
      <x:c r="J253" s="4" t="str">
        <x:v>以当前教材PDF为准；后续逐课引用时复核题号、图号与数据</x:v>
      </x:c>
    </x:row>
    <x:row r="254" ht="34" customHeight="1">
      <x:c r="A254" s="11" t="n">
        <x:v>168</x:v>
      </x:c>
      <x:c r="B254" s="11" t="n">
        <x:v>175</x:v>
      </x:c>
      <x:c r="C254" s="4" t="str">
        <x:v>节/小节</x:v>
      </x:c>
      <x:c r="D254" s="4" t="str">
        <x:v>6.4 5.8 5.9 5.7 6.8 6.6 6.0 6.4 5.7 7.4</x:v>
      </x:c>
      <x:c r="E254" s="10" t="str">
        <x:v>C12-L07</x:v>
      </x:c>
      <x:c r="F254" s="4" t="str">
        <x:v>数据的收集、整理与描述</x:v>
      </x:c>
      <x:c r="G254" s="4" t="n">
        <x:v>12.2</x:v>
      </x:c>
      <x:c r="H254" s="4" t="str">
        <x:v>直方图的应用与解释</x:v>
      </x:c>
      <x:c r="I254" s="14" t="str">
        <x:v>已安排</x:v>
      </x:c>
      <x:c r="J254" s="4" t="str">
        <x:v>以当前教材PDF为准；后续逐课引用时复核题号、图号与数据</x:v>
      </x:c>
    </x:row>
    <x:row r="255" ht="34" customHeight="1">
      <x:c r="A255" s="11" t="n">
        <x:v>168</x:v>
      </x:c>
      <x:c r="B255" s="11" t="n">
        <x:v>175</x:v>
      </x:c>
      <x:c r="C255" s="4" t="str">
        <x:v>节/小节</x:v>
      </x:c>
      <x:c r="D255" s="4" t="str">
        <x:v>6.0 5.4 6.5 6.0 6.8 5.8 6.3 6.0 6.3 5.6</x:v>
      </x:c>
      <x:c r="E255" s="10" t="str">
        <x:v>C12-L07</x:v>
      </x:c>
      <x:c r="F255" s="4" t="str">
        <x:v>数据的收集、整理与描述</x:v>
      </x:c>
      <x:c r="G255" s="4" t="n">
        <x:v>12.2</x:v>
      </x:c>
      <x:c r="H255" s="4" t="str">
        <x:v>直方图的应用与解释</x:v>
      </x:c>
      <x:c r="I255" s="14" t="str">
        <x:v>已安排</x:v>
      </x:c>
      <x:c r="J255" s="4" t="str">
        <x:v>以当前教材PDF为准；后续逐课引用时复核题号、图号与数据</x:v>
      </x:c>
    </x:row>
    <x:row r="256" ht="34" customHeight="1">
      <x:c r="A256" s="11" t="n">
        <x:v>168</x:v>
      </x:c>
      <x:c r="B256" s="11" t="n">
        <x:v>175</x:v>
      </x:c>
      <x:c r="C256" s="4" t="str">
        <x:v>节/小节</x:v>
      </x:c>
      <x:c r="D256" s="4" t="str">
        <x:v>5.3 6.4 5.7 6.7 6.2 5.6 6.0 6.7 6.7 6.0</x:v>
      </x:c>
      <x:c r="E256" s="10" t="str">
        <x:v>C12-L07</x:v>
      </x:c>
      <x:c r="F256" s="4" t="str">
        <x:v>数据的收集、整理与描述</x:v>
      </x:c>
      <x:c r="G256" s="4" t="n">
        <x:v>12.2</x:v>
      </x:c>
      <x:c r="H256" s="4" t="str">
        <x:v>直方图的应用与解释</x:v>
      </x:c>
      <x:c r="I256" s="14" t="str">
        <x:v>已安排</x:v>
      </x:c>
      <x:c r="J256" s="4" t="str">
        <x:v>以当前教材PDF为准；后续逐课引用时复核题号、图号与数据</x:v>
      </x:c>
    </x:row>
    <x:row r="257" ht="34" customHeight="1">
      <x:c r="A257" s="11" t="n">
        <x:v>168</x:v>
      </x:c>
      <x:c r="B257" s="11" t="n">
        <x:v>175</x:v>
      </x:c>
      <x:c r="C257" s="4" t="str">
        <x:v>节/小节</x:v>
      </x:c>
      <x:c r="D257" s="4" t="str">
        <x:v>5.5 6.2 6.1 5.3 6.2 6.8 6.6 4.7 5.7 5.7</x:v>
      </x:c>
      <x:c r="E257" s="10" t="str">
        <x:v>C12-L07</x:v>
      </x:c>
      <x:c r="F257" s="4" t="str">
        <x:v>数据的收集、整理与描述</x:v>
      </x:c>
      <x:c r="G257" s="4" t="n">
        <x:v>12.2</x:v>
      </x:c>
      <x:c r="H257" s="4" t="str">
        <x:v>直方图的应用与解释</x:v>
      </x:c>
      <x:c r="I257" s="14" t="str">
        <x:v>已安排</x:v>
      </x:c>
      <x:c r="J257" s="4" t="str">
        <x:v>以当前教材PDF为准；后续逐课引用时复核题号、图号与数据</x:v>
      </x:c>
    </x:row>
    <x:row r="258" ht="34" customHeight="1">
      <x:c r="A258" s="11" t="n">
        <x:v>168</x:v>
      </x:c>
      <x:c r="B258" s="11" t="n">
        <x:v>175</x:v>
      </x:c>
      <x:c r="C258" s="4" t="str">
        <x:v>节/小节</x:v>
      </x:c>
      <x:c r="D258" s="4" t="str">
        <x:v>5.8 5.3 7.0 6.0 6.0 5.9 5.4 6.0 5.2 6.0</x:v>
      </x:c>
      <x:c r="E258" s="10" t="str">
        <x:v>C12-L07</x:v>
      </x:c>
      <x:c r="F258" s="4" t="str">
        <x:v>数据的收集、整理与描述</x:v>
      </x:c>
      <x:c r="G258" s="4" t="n">
        <x:v>12.2</x:v>
      </x:c>
      <x:c r="H258" s="4" t="str">
        <x:v>直方图的应用与解释</x:v>
      </x:c>
      <x:c r="I258" s="14" t="str">
        <x:v>已安排</x:v>
      </x:c>
      <x:c r="J258" s="4" t="str">
        <x:v>以当前教材PDF为准；后续逐课引用时复核题号、图号与数据</x:v>
      </x:c>
    </x:row>
    <x:row r="259" ht="34" customHeight="1">
      <x:c r="A259" s="11" t="n">
        <x:v>168</x:v>
      </x:c>
      <x:c r="B259" s="11" t="n">
        <x:v>175</x:v>
      </x:c>
      <x:c r="C259" s="4" t="str">
        <x:v>节/小节</x:v>
      </x:c>
      <x:c r="D259" s="4" t="str">
        <x:v>6.3 5.7 6.8 6.1 4.5 5.6 6.3 6.0 5.8 6.3</x:v>
      </x:c>
      <x:c r="E259" s="10" t="str">
        <x:v>C12-L07</x:v>
      </x:c>
      <x:c r="F259" s="4" t="str">
        <x:v>数据的收集、整理与描述</x:v>
      </x:c>
      <x:c r="G259" s="4" t="n">
        <x:v>12.2</x:v>
      </x:c>
      <x:c r="H259" s="4" t="str">
        <x:v>直方图的应用与解释</x:v>
      </x:c>
      <x:c r="I259" s="14" t="str">
        <x:v>已安排</x:v>
      </x:c>
      <x:c r="J259" s="4" t="str">
        <x:v>以当前教材PDF为准；后续逐课引用时复核题号、图号与数据</x:v>
      </x:c>
    </x:row>
    <x:row r="260" ht="34" customHeight="1">
      <x:c r="A260" s="11" t="n">
        <x:v>169</x:v>
      </x:c>
      <x:c r="B260" s="11" t="n">
        <x:v>176</x:v>
      </x:c>
      <x:c r="C260" s="4" t="str">
        <x:v>整页覆盖</x:v>
      </x:c>
      <x:c r="D260" s="4" t="str">
        <x:v>本页全部正文、图表与题目</x:v>
      </x:c>
      <x:c r="E260" s="10" t="str">
        <x:v>C12-L07</x:v>
      </x:c>
      <x:c r="F260" s="4" t="str">
        <x:v>数据的收集、整理与描述</x:v>
      </x:c>
      <x:c r="G260" s="4" t="n">
        <x:v>12.2</x:v>
      </x:c>
      <x:c r="H260" s="4" t="str">
        <x:v>直方图的应用与解释</x:v>
      </x:c>
      <x:c r="I260" s="14" t="str">
        <x:v>已安排</x:v>
      </x:c>
      <x:c r="J260" s="4" t="str">
        <x:v>以当前教材PDF为准；后续逐课引用时复核题号、图号与数据</x:v>
      </x:c>
    </x:row>
    <x:row r="261" ht="34" customHeight="1">
      <x:c r="A261" s="11" t="n">
        <x:v>169</x:v>
      </x:c>
      <x:c r="B261" s="11" t="n">
        <x:v>176</x:v>
      </x:c>
      <x:c r="C261" s="4" t="str">
        <x:v>节/小节</x:v>
      </x:c>
      <x:c r="D261" s="4" t="str">
        <x:v>3.4 1</x:v>
      </x:c>
      <x:c r="E261" s="10" t="str">
        <x:v>C12-L07</x:v>
      </x:c>
      <x:c r="F261" s="4" t="str">
        <x:v>数据的收集、整理与描述</x:v>
      </x:c>
      <x:c r="G261" s="4" t="n">
        <x:v>12.2</x:v>
      </x:c>
      <x:c r="H261" s="4" t="str">
        <x:v>直方图的应用与解释</x:v>
      </x:c>
      <x:c r="I261" s="14" t="str">
        <x:v>已安排</x:v>
      </x:c>
      <x:c r="J261" s="4" t="str">
        <x:v>以当前教材PDF为准；后续逐课引用时复核题号、图号与数据</x:v>
      </x:c>
    </x:row>
    <x:row r="262" ht="34" customHeight="1">
      <x:c r="A262" s="11" t="n">
        <x:v>169</x:v>
      </x:c>
      <x:c r="B262" s="11" t="n">
        <x:v>176</x:v>
      </x:c>
      <x:c r="C262" s="4" t="str">
        <x:v>节/小节</x:v>
      </x:c>
      <x:c r="D262" s="4" t="str">
        <x:v>0.3 3</x:v>
      </x:c>
      <x:c r="E262" s="10" t="str">
        <x:v>C12-L07</x:v>
      </x:c>
      <x:c r="F262" s="4" t="str">
        <x:v>数据的收集、整理与描述</x:v>
      </x:c>
      <x:c r="G262" s="4" t="n">
        <x:v>12.2</x:v>
      </x:c>
      <x:c r="H262" s="4" t="str">
        <x:v>直方图的应用与解释</x:v>
      </x:c>
      <x:c r="I262" s="14" t="str">
        <x:v>已安排</x:v>
      </x:c>
      <x:c r="J262" s="4" t="str">
        <x:v>以当前教材PDF为准；后续逐课引用时复核题号、图号与数据</x:v>
      </x:c>
    </x:row>
    <x:row r="263" ht="34" customHeight="1">
      <x:c r="A263" s="11" t="n">
        <x:v>170</x:v>
      </x:c>
      <x:c r="B263" s="11" t="n">
        <x:v>177</x:v>
      </x:c>
      <x:c r="C263" s="4" t="str">
        <x:v>正文/题目</x:v>
      </x:c>
      <x:c r="D263" s="4" t="str">
        <x:v>本页全部正文、图表与题目</x:v>
      </x:c>
      <x:c r="E263" s="10" t="str">
        <x:v>C12-L07</x:v>
      </x:c>
      <x:c r="F263" s="4" t="str">
        <x:v>数据的收集、整理与描述</x:v>
      </x:c>
      <x:c r="G263" s="4" t="n">
        <x:v>12.2</x:v>
      </x:c>
      <x:c r="H263" s="4" t="str">
        <x:v>直方图的应用与解释</x:v>
      </x:c>
      <x:c r="I263" s="14" t="str">
        <x:v>已安排</x:v>
      </x:c>
      <x:c r="J263" s="4" t="str">
        <x:v>以当前教材PDF为准；后续逐课引用时复核题号、图号与数据</x:v>
      </x:c>
    </x:row>
    <x:row r="264" ht="34" customHeight="1">
      <x:c r="A264" s="11" t="n">
        <x:v>171</x:v>
      </x:c>
      <x:c r="B264" s="11" t="n">
        <x:v>178</x:v>
      </x:c>
      <x:c r="C264" s="4" t="str">
        <x:v>正文/题目</x:v>
      </x:c>
      <x:c r="D264" s="4" t="str">
        <x:v>本页全部正文、图表与题目</x:v>
      </x:c>
      <x:c r="E264" s="10" t="str">
        <x:v>C12-L08</x:v>
      </x:c>
      <x:c r="F264" s="4" t="str">
        <x:v>数据的收集、整理与描述</x:v>
      </x:c>
      <x:c r="G264" s="4" t="n">
        <x:v>12.2</x:v>
      </x:c>
      <x:c r="H264" s="4" t="str">
        <x:v>用趋势图描述两个量的关系</x:v>
      </x:c>
      <x:c r="I264" s="14" t="str">
        <x:v>已安排</x:v>
      </x:c>
      <x:c r="J264" s="4" t="str">
        <x:v>以当前教材PDF为准；后续逐课引用时复核题号、图号与数据</x:v>
      </x:c>
    </x:row>
    <x:row r="265" ht="34" customHeight="1">
      <x:c r="A265" s="11" t="n">
        <x:v>172</x:v>
      </x:c>
      <x:c r="B265" s="11" t="n">
        <x:v>179</x:v>
      </x:c>
      <x:c r="C265" s="4" t="str">
        <x:v>正文/题目</x:v>
      </x:c>
      <x:c r="D265" s="4" t="str">
        <x:v>本页全部正文、图表与题目</x:v>
      </x:c>
      <x:c r="E265" s="10" t="str">
        <x:v>C12-L08</x:v>
      </x:c>
      <x:c r="F265" s="4" t="str">
        <x:v>数据的收集、整理与描述</x:v>
      </x:c>
      <x:c r="G265" s="4" t="n">
        <x:v>12.2</x:v>
      </x:c>
      <x:c r="H265" s="4" t="str">
        <x:v>用趋势图描述两个量的关系</x:v>
      </x:c>
      <x:c r="I265" s="14" t="str">
        <x:v>已安排</x:v>
      </x:c>
      <x:c r="J265" s="4" t="str">
        <x:v>以当前教材PDF为准；后续逐课引用时复核题号、图号与数据</x:v>
      </x:c>
    </x:row>
    <x:row r="266" ht="34" customHeight="1">
      <x:c r="A266" s="11" t="n">
        <x:v>173</x:v>
      </x:c>
      <x:c r="B266" s="11" t="n">
        <x:v>180</x:v>
      </x:c>
      <x:c r="C266" s="4" t="str">
        <x:v>正文/题目</x:v>
      </x:c>
      <x:c r="D266" s="4" t="str">
        <x:v>本页全部正文、图表与题目</x:v>
      </x:c>
      <x:c r="E266" s="10" t="str">
        <x:v>C12-L08</x:v>
      </x:c>
      <x:c r="F266" s="4" t="str">
        <x:v>数据的收集、整理与描述</x:v>
      </x:c>
      <x:c r="G266" s="4" t="n">
        <x:v>12.2</x:v>
      </x:c>
      <x:c r="H266" s="4" t="str">
        <x:v>用趋势图描述两个量的关系</x:v>
      </x:c>
      <x:c r="I266" s="14" t="str">
        <x:v>已安排</x:v>
      </x:c>
      <x:c r="J266" s="4" t="str">
        <x:v>以当前教材PDF为准；后续逐课引用时复核题号、图号与数据</x:v>
      </x:c>
    </x:row>
    <x:row r="267" ht="34" customHeight="1">
      <x:c r="A267" s="11" t="n">
        <x:v>174</x:v>
      </x:c>
      <x:c r="B267" s="11" t="n">
        <x:v>181</x:v>
      </x:c>
      <x:c r="C267" s="4" t="str">
        <x:v>正文/题目</x:v>
      </x:c>
      <x:c r="D267" s="4" t="str">
        <x:v>本页全部正文、图表与题目</x:v>
      </x:c>
      <x:c r="E267" s="10" t="str">
        <x:v>C12-L08</x:v>
      </x:c>
      <x:c r="F267" s="4" t="str">
        <x:v>数据的收集、整理与描述</x:v>
      </x:c>
      <x:c r="G267" s="4" t="n">
        <x:v>12.2</x:v>
      </x:c>
      <x:c r="H267" s="4" t="str">
        <x:v>用趋势图描述两个量的关系</x:v>
      </x:c>
      <x:c r="I267" s="14" t="str">
        <x:v>已安排</x:v>
      </x:c>
      <x:c r="J267" s="4" t="str">
        <x:v>以当前教材PDF为准；后续逐课引用时复核题号、图号与数据</x:v>
      </x:c>
    </x:row>
    <x:row r="268" ht="34" customHeight="1">
      <x:c r="A268" s="11" t="n">
        <x:v>175</x:v>
      </x:c>
      <x:c r="B268" s="11" t="n">
        <x:v>182</x:v>
      </x:c>
      <x:c r="C268" s="4" t="str">
        <x:v>正文/题目</x:v>
      </x:c>
      <x:c r="D268" s="4" t="str">
        <x:v>本页全部正文、图表与题目</x:v>
      </x:c>
      <x:c r="E268" s="10" t="str">
        <x:v>C12-L09</x:v>
      </x:c>
      <x:c r="F268" s="4" t="str">
        <x:v>数据的收集、整理与描述</x:v>
      </x:c>
      <x:c r="G268" s="4" t="n">
        <x:v>12.2</x:v>
      </x:c>
      <x:c r="H268" s="4" t="str">
        <x:v>统计图的选择与综合应用</x:v>
      </x:c>
      <x:c r="I268" s="14" t="str">
        <x:v>已安排</x:v>
      </x:c>
      <x:c r="J268" s="4" t="str">
        <x:v>以当前教材PDF为准；后续逐课引用时复核题号、图号与数据</x:v>
      </x:c>
    </x:row>
    <x:row r="269" ht="34" customHeight="1">
      <x:c r="A269" s="11" t="n">
        <x:v>176</x:v>
      </x:c>
      <x:c r="B269" s="11" t="n">
        <x:v>183</x:v>
      </x:c>
      <x:c r="C269" s="4" t="str">
        <x:v>整页覆盖</x:v>
      </x:c>
      <x:c r="D269" s="4" t="str">
        <x:v>本页全部正文、图表与题目</x:v>
      </x:c>
      <x:c r="E269" s="10" t="str">
        <x:v>C12-L09</x:v>
      </x:c>
      <x:c r="F269" s="4" t="str">
        <x:v>数据的收集、整理与描述</x:v>
      </x:c>
      <x:c r="G269" s="4" t="n">
        <x:v>12.2</x:v>
      </x:c>
      <x:c r="H269" s="4" t="str">
        <x:v>统计图的选择与综合应用</x:v>
      </x:c>
      <x:c r="I269" s="14" t="str">
        <x:v>已安排</x:v>
      </x:c>
      <x:c r="J269" s="4" t="str">
        <x:v>以当前教材PDF为准；后续逐课引用时复核题号、图号与数据</x:v>
      </x:c>
    </x:row>
    <x:row r="270" ht="34" customHeight="1">
      <x:c r="A270" s="11" t="n">
        <x:v>176</x:v>
      </x:c>
      <x:c r="B270" s="11" t="n">
        <x:v>183</x:v>
      </x:c>
      <x:c r="C270" s="4" t="str">
        <x:v>节/小节</x:v>
      </x:c>
      <x:c r="D270" s="4" t="str">
        <x:v>24.4 19.1 22.7 20.4 21.0 21.6 22.8 20.9 21.8 18.6 24.3 20.5</x:v>
      </x:c>
      <x:c r="E270" s="10" t="str">
        <x:v>C12-L09</x:v>
      </x:c>
      <x:c r="F270" s="4" t="str">
        <x:v>数据的收集、整理与描述</x:v>
      </x:c>
      <x:c r="G270" s="4" t="n">
        <x:v>12.2</x:v>
      </x:c>
      <x:c r="H270" s="4" t="str">
        <x:v>统计图的选择与综合应用</x:v>
      </x:c>
      <x:c r="I270" s="14" t="str">
        <x:v>已安排</x:v>
      </x:c>
      <x:c r="J270" s="4" t="str">
        <x:v>以当前教材PDF为准；后续逐课引用时复核题号、图号与数据</x:v>
      </x:c>
    </x:row>
    <x:row r="271" ht="34" customHeight="1">
      <x:c r="A271" s="11" t="n">
        <x:v>176</x:v>
      </x:c>
      <x:c r="B271" s="11" t="n">
        <x:v>183</x:v>
      </x:c>
      <x:c r="C271" s="4" t="str">
        <x:v>节/小节</x:v>
      </x:c>
      <x:c r="D271" s="4" t="str">
        <x:v>19.7 23.5 21.6 19.8 20.3 22.4 20.2 22.3 21.9 22.3 21.4 19.2</x:v>
      </x:c>
      <x:c r="E271" s="10" t="str">
        <x:v>C12-L09</x:v>
      </x:c>
      <x:c r="F271" s="4" t="str">
        <x:v>数据的收集、整理与描述</x:v>
      </x:c>
      <x:c r="G271" s="4" t="n">
        <x:v>12.2</x:v>
      </x:c>
      <x:c r="H271" s="4" t="str">
        <x:v>统计图的选择与综合应用</x:v>
      </x:c>
      <x:c r="I271" s="14" t="str">
        <x:v>已安排</x:v>
      </x:c>
      <x:c r="J271" s="4" t="str">
        <x:v>以当前教材PDF为准；后续逐课引用时复核题号、图号与数据</x:v>
      </x:c>
    </x:row>
    <x:row r="272" ht="34" customHeight="1">
      <x:c r="A272" s="11" t="n">
        <x:v>176</x:v>
      </x:c>
      <x:c r="B272" s="11" t="n">
        <x:v>183</x:v>
      </x:c>
      <x:c r="C272" s="4" t="str">
        <x:v>节/小节</x:v>
      </x:c>
      <x:c r="D272" s="4" t="str">
        <x:v>23.5 20.5 22.1 22.7 23.2 21.7 21.1 23.1 23.4 23.3 21.0 24.1</x:v>
      </x:c>
      <x:c r="E272" s="10" t="str">
        <x:v>C12-L09</x:v>
      </x:c>
      <x:c r="F272" s="4" t="str">
        <x:v>数据的收集、整理与描述</x:v>
      </x:c>
      <x:c r="G272" s="4" t="n">
        <x:v>12.2</x:v>
      </x:c>
      <x:c r="H272" s="4" t="str">
        <x:v>统计图的选择与综合应用</x:v>
      </x:c>
      <x:c r="I272" s="14" t="str">
        <x:v>已安排</x:v>
      </x:c>
      <x:c r="J272" s="4" t="str">
        <x:v>以当前教材PDF为准；后续逐课引用时复核题号、图号与数据</x:v>
      </x:c>
    </x:row>
    <x:row r="273" ht="34" customHeight="1">
      <x:c r="A273" s="11" t="n">
        <x:v>176</x:v>
      </x:c>
      <x:c r="B273" s="11" t="n">
        <x:v>183</x:v>
      </x:c>
      <x:c r="C273" s="4" t="str">
        <x:v>节/小节</x:v>
      </x:c>
      <x:c r="D273" s="4" t="str">
        <x:v>18.5 21.5 24.4 22.6 21.0 20.0 20.7 21.5 19.8 19.1 19.1 22.4</x:v>
      </x:c>
      <x:c r="E273" s="10" t="str">
        <x:v>C12-L09</x:v>
      </x:c>
      <x:c r="F273" s="4" t="str">
        <x:v>数据的收集、整理与描述</x:v>
      </x:c>
      <x:c r="G273" s="4" t="n">
        <x:v>12.2</x:v>
      </x:c>
      <x:c r="H273" s="4" t="str">
        <x:v>统计图的选择与综合应用</x:v>
      </x:c>
      <x:c r="I273" s="14" t="str">
        <x:v>已安排</x:v>
      </x:c>
      <x:c r="J273" s="4" t="str">
        <x:v>以当前教材PDF为准；后续逐课引用时复核题号、图号与数据</x:v>
      </x:c>
    </x:row>
    <x:row r="274" ht="34" customHeight="1">
      <x:c r="A274" s="11" t="n">
        <x:v>177</x:v>
      </x:c>
      <x:c r="B274" s="11" t="n">
        <x:v>184</x:v>
      </x:c>
      <x:c r="C274" s="4" t="str">
        <x:v>整页覆盖</x:v>
      </x:c>
      <x:c r="D274" s="4" t="str">
        <x:v>本页全部正文、图表与题目</x:v>
      </x:c>
      <x:c r="E274" s="10" t="str">
        <x:v>C12-L09</x:v>
      </x:c>
      <x:c r="F274" s="4" t="str">
        <x:v>数据的收集、整理与描述</x:v>
      </x:c>
      <x:c r="G274" s="4" t="n">
        <x:v>12.2</x:v>
      </x:c>
      <x:c r="H274" s="4" t="str">
        <x:v>统计图的选择与综合应用</x:v>
      </x:c>
      <x:c r="I274" s="14" t="str">
        <x:v>已安排</x:v>
      </x:c>
      <x:c r="J274" s="4" t="str">
        <x:v>以当前教材PDF为准；后续逐课引用时复核题号、图号与数据</x:v>
      </x:c>
    </x:row>
    <x:row r="275" ht="34" customHeight="1">
      <x:c r="A275" s="11" t="n">
        <x:v>177</x:v>
      </x:c>
      <x:c r="B275" s="11" t="n">
        <x:v>184</x:v>
      </x:c>
      <x:c r="C275" s="4" t="str">
        <x:v>节/小节</x:v>
      </x:c>
      <x:c r="D275" s="4" t="str">
        <x:v>6.8 14.8 28.6 31.2 28.8 30.0</x:v>
      </x:c>
      <x:c r="E275" s="10" t="str">
        <x:v>C12-L09</x:v>
      </x:c>
      <x:c r="F275" s="4" t="str">
        <x:v>数据的收集、整理与描述</x:v>
      </x:c>
      <x:c r="G275" s="4" t="n">
        <x:v>12.2</x:v>
      </x:c>
      <x:c r="H275" s="4" t="str">
        <x:v>统计图的选择与综合应用</x:v>
      </x:c>
      <x:c r="I275" s="14" t="str">
        <x:v>已安排</x:v>
      </x:c>
      <x:c r="J275" s="4" t="str">
        <x:v>以当前教材PDF为准；后续逐课引用时复核题号、图号与数据</x:v>
      </x:c>
    </x:row>
    <x:row r="276" ht="34" customHeight="1">
      <x:c r="A276" s="11" t="n">
        <x:v>178</x:v>
      </x:c>
      <x:c r="B276" s="11" t="n">
        <x:v>185</x:v>
      </x:c>
      <x:c r="C276" s="4" t="str">
        <x:v>正文/题目</x:v>
      </x:c>
      <x:c r="D276" s="4" t="str">
        <x:v>本页全部正文、图表与题目</x:v>
      </x:c>
      <x:c r="E276" s="10" t="str">
        <x:v>C12-L10</x:v>
      </x:c>
      <x:c r="F276" s="4" t="str">
        <x:v>数据的收集、整理与描述</x:v>
      </x:c>
      <x:c r="G276" s="4" t="str">
        <x:v>信息技术应用、图说数学史、数学活动</x:v>
      </x:c>
      <x:c r="H276" s="4" t="str">
        <x:v>统计图的信息技术应用与数学活动</x:v>
      </x:c>
      <x:c r="I276" s="14" t="str">
        <x:v>已安排</x:v>
      </x:c>
      <x:c r="J276" s="4" t="str">
        <x:v>以当前教材PDF为准；后续逐课引用时复核题号、图号与数据</x:v>
      </x:c>
    </x:row>
    <x:row r="277" ht="34" customHeight="1">
      <x:c r="A277" s="11" t="n">
        <x:v>179</x:v>
      </x:c>
      <x:c r="B277" s="11" t="n">
        <x:v>186</x:v>
      </x:c>
      <x:c r="C277" s="4" t="str">
        <x:v>正文/题目</x:v>
      </x:c>
      <x:c r="D277" s="4" t="str">
        <x:v>本页全部正文、图表与题目</x:v>
      </x:c>
      <x:c r="E277" s="10" t="str">
        <x:v>C12-L10</x:v>
      </x:c>
      <x:c r="F277" s="4" t="str">
        <x:v>数据的收集、整理与描述</x:v>
      </x:c>
      <x:c r="G277" s="4" t="str">
        <x:v>信息技术应用、图说数学史、数学活动</x:v>
      </x:c>
      <x:c r="H277" s="4" t="str">
        <x:v>统计图的信息技术应用与数学活动</x:v>
      </x:c>
      <x:c r="I277" s="14" t="str">
        <x:v>已安排</x:v>
      </x:c>
      <x:c r="J277" s="4" t="str">
        <x:v>以当前教材PDF为准；后续逐课引用时复核题号、图号与数据</x:v>
      </x:c>
    </x:row>
    <x:row r="278" ht="34" customHeight="1">
      <x:c r="A278" s="11" t="n">
        <x:v>180</x:v>
      </x:c>
      <x:c r="B278" s="11" t="n">
        <x:v>187</x:v>
      </x:c>
      <x:c r="C278" s="4" t="str">
        <x:v>正文/题目</x:v>
      </x:c>
      <x:c r="D278" s="4" t="str">
        <x:v>本页全部正文、图表与题目</x:v>
      </x:c>
      <x:c r="E278" s="10" t="str">
        <x:v>C12-L10</x:v>
      </x:c>
      <x:c r="F278" s="4" t="str">
        <x:v>数据的收集、整理与描述</x:v>
      </x:c>
      <x:c r="G278" s="4" t="str">
        <x:v>信息技术应用、图说数学史、数学活动</x:v>
      </x:c>
      <x:c r="H278" s="4" t="str">
        <x:v>统计图的信息技术应用与数学活动</x:v>
      </x:c>
      <x:c r="I278" s="14" t="str">
        <x:v>已安排</x:v>
      </x:c>
      <x:c r="J278" s="4" t="str">
        <x:v>以当前教材PDF为准；后续逐课引用时复核题号、图号与数据</x:v>
      </x:c>
    </x:row>
    <x:row r="279" ht="34" customHeight="1">
      <x:c r="A279" s="11" t="n">
        <x:v>181</x:v>
      </x:c>
      <x:c r="B279" s="11" t="n">
        <x:v>188</x:v>
      </x:c>
      <x:c r="C279" s="4" t="str">
        <x:v>正文/题目</x:v>
      </x:c>
      <x:c r="D279" s="4" t="str">
        <x:v>本页全部正文、图表与题目</x:v>
      </x:c>
      <x:c r="E279" s="10" t="str">
        <x:v>C12-L10</x:v>
      </x:c>
      <x:c r="F279" s="4" t="str">
        <x:v>数据的收集、整理与描述</x:v>
      </x:c>
      <x:c r="G279" s="4" t="str">
        <x:v>信息技术应用、图说数学史、数学活动</x:v>
      </x:c>
      <x:c r="H279" s="4" t="str">
        <x:v>统计图的信息技术应用与数学活动</x:v>
      </x:c>
      <x:c r="I279" s="14" t="str">
        <x:v>已安排</x:v>
      </x:c>
      <x:c r="J279" s="4" t="str">
        <x:v>以当前教材PDF为准；后续逐课引用时复核题号、图号与数据</x:v>
      </x:c>
    </x:row>
    <x:row r="280" ht="34" customHeight="1">
      <x:c r="A280" s="11" t="n">
        <x:v>182</x:v>
      </x:c>
      <x:c r="B280" s="11" t="n">
        <x:v>189</x:v>
      </x:c>
      <x:c r="C280" s="4" t="str">
        <x:v>正文/题目</x:v>
      </x:c>
      <x:c r="D280" s="4" t="str">
        <x:v>本页全部正文、图表与题目</x:v>
      </x:c>
      <x:c r="E280" s="10" t="str">
        <x:v>C12-L10</x:v>
      </x:c>
      <x:c r="F280" s="4" t="str">
        <x:v>数据的收集、整理与描述</x:v>
      </x:c>
      <x:c r="G280" s="4" t="str">
        <x:v>信息技术应用、图说数学史、数学活动</x:v>
      </x:c>
      <x:c r="H280" s="4" t="str">
        <x:v>统计图的信息技术应用与数学活动</x:v>
      </x:c>
      <x:c r="I280" s="14" t="str">
        <x:v>已安排</x:v>
      </x:c>
      <x:c r="J280" s="4" t="str">
        <x:v>以当前教材PDF为准；后续逐课引用时复核题号、图号与数据</x:v>
      </x:c>
    </x:row>
    <x:row r="281" ht="34" customHeight="1">
      <x:c r="A281" s="11" t="n">
        <x:v>183</x:v>
      </x:c>
      <x:c r="B281" s="11" t="n">
        <x:v>190</x:v>
      </x:c>
      <x:c r="C281" s="4" t="str">
        <x:v>正文/题目</x:v>
      </x:c>
      <x:c r="D281" s="4" t="str">
        <x:v>本页全部正文、图表与题目</x:v>
      </x:c>
      <x:c r="E281" s="10" t="str">
        <x:v>C12-L11</x:v>
      </x:c>
      <x:c r="F281" s="4" t="str">
        <x:v>数据的收集、整理与描述</x:v>
      </x:c>
      <x:c r="G281" s="4" t="str">
        <x:v>小结与复习题12</x:v>
      </x:c>
      <x:c r="H281" s="4" t="str">
        <x:v>数据的收集、整理与描述章末复习</x:v>
      </x:c>
      <x:c r="I281" s="14" t="str">
        <x:v>已安排</x:v>
      </x:c>
      <x:c r="J281" s="4" t="str">
        <x:v>以当前教材PDF为准；后续逐课引用时复核题号、图号与数据</x:v>
      </x:c>
    </x:row>
    <x:row r="282" ht="34" customHeight="1">
      <x:c r="A282" s="11" t="n">
        <x:v>184</x:v>
      </x:c>
      <x:c r="B282" s="11" t="n">
        <x:v>191</x:v>
      </x:c>
      <x:c r="C282" s="4" t="str">
        <x:v>正文/题目</x:v>
      </x:c>
      <x:c r="D282" s="4" t="str">
        <x:v>本页全部正文、图表与题目</x:v>
      </x:c>
      <x:c r="E282" s="10" t="str">
        <x:v>C12-L11</x:v>
      </x:c>
      <x:c r="F282" s="4" t="str">
        <x:v>数据的收集、整理与描述</x:v>
      </x:c>
      <x:c r="G282" s="4" t="str">
        <x:v>小结与复习题12</x:v>
      </x:c>
      <x:c r="H282" s="4" t="str">
        <x:v>数据的收集、整理与描述章末复习</x:v>
      </x:c>
      <x:c r="I282" s="14" t="str">
        <x:v>已安排</x:v>
      </x:c>
      <x:c r="J282" s="4" t="str">
        <x:v>以当前教材PDF为准；后续逐课引用时复核题号、图号与数据</x:v>
      </x:c>
    </x:row>
    <x:row r="283" ht="34" customHeight="1">
      <x:c r="A283" s="11" t="n">
        <x:v>185</x:v>
      </x:c>
      <x:c r="B283" s="11" t="n">
        <x:v>192</x:v>
      </x:c>
      <x:c r="C283" s="4" t="str">
        <x:v>正文/题目</x:v>
      </x:c>
      <x:c r="D283" s="4" t="str">
        <x:v>本页全部正文、图表与题目</x:v>
      </x:c>
      <x:c r="E283" s="10" t="str">
        <x:v>C12-L11</x:v>
      </x:c>
      <x:c r="F283" s="4" t="str">
        <x:v>数据的收集、整理与描述</x:v>
      </x:c>
      <x:c r="G283" s="4" t="str">
        <x:v>小结与复习题12</x:v>
      </x:c>
      <x:c r="H283" s="4" t="str">
        <x:v>数据的收集、整理与描述章末复习</x:v>
      </x:c>
      <x:c r="I283" s="14" t="str">
        <x:v>已安排</x:v>
      </x:c>
      <x:c r="J283" s="4" t="str">
        <x:v>以当前教材PDF为准；后续逐课引用时复核题号、图号与数据</x:v>
      </x:c>
    </x:row>
    <x:row r="284" ht="34" customHeight="1">
      <x:c r="A284" s="11" t="n">
        <x:v>186</x:v>
      </x:c>
      <x:c r="B284" s="11" t="n">
        <x:v>193</x:v>
      </x:c>
      <x:c r="C284" s="4" t="str">
        <x:v>整页覆盖</x:v>
      </x:c>
      <x:c r="D284" s="4" t="str">
        <x:v>本页全部正文、图表与题目</x:v>
      </x:c>
      <x:c r="E284" s="10" t="str">
        <x:v>C12-L11</x:v>
      </x:c>
      <x:c r="F284" s="4" t="str">
        <x:v>数据的收集、整理与描述</x:v>
      </x:c>
      <x:c r="G284" s="4" t="str">
        <x:v>小结与复习题12</x:v>
      </x:c>
      <x:c r="H284" s="4" t="str">
        <x:v>数据的收集、整理与描述章末复习</x:v>
      </x:c>
      <x:c r="I284" s="14" t="str">
        <x:v>已安排</x:v>
      </x:c>
      <x:c r="J284" s="4" t="str">
        <x:v>以当前教材PDF为准；后续逐课引用时复核题号、图号与数据</x:v>
      </x:c>
    </x:row>
    <x:row r="285" ht="34" customHeight="1">
      <x:c r="A285" s="11" t="n">
        <x:v>186</x:v>
      </x:c>
      <x:c r="B285" s="11" t="n">
        <x:v>193</x:v>
      </x:c>
      <x:c r="C285" s="4" t="str">
        <x:v>节/小节</x:v>
      </x:c>
      <x:c r="D285" s="4" t="str">
        <x:v>3.9 5.1 7.7 11.3 1.5 11.1 7.3 7.9 5.6 4.5</x:v>
      </x:c>
      <x:c r="E285" s="10" t="str">
        <x:v>C12-L11</x:v>
      </x:c>
      <x:c r="F285" s="4" t="str">
        <x:v>数据的收集、整理与描述</x:v>
      </x:c>
      <x:c r="G285" s="4" t="str">
        <x:v>小结与复习题12</x:v>
      </x:c>
      <x:c r="H285" s="4" t="str">
        <x:v>数据的收集、整理与描述章末复习</x:v>
      </x:c>
      <x:c r="I285" s="14" t="str">
        <x:v>已安排</x:v>
      </x:c>
      <x:c r="J285" s="4" t="str">
        <x:v>以当前教材PDF为准；后续逐课引用时复核题号、图号与数据</x:v>
      </x:c>
    </x:row>
    <x:row r="286" ht="34" customHeight="1">
      <x:c r="A286" s="11" t="n">
        <x:v>186</x:v>
      </x:c>
      <x:c r="B286" s="11" t="n">
        <x:v>193</x:v>
      </x:c>
      <x:c r="C286" s="4" t="str">
        <x:v>节/小节</x:v>
      </x:c>
      <x:c r="D286" s="4" t="str">
        <x:v>10.7 24.8 11.4 6.2 10.1 2.1 6.9 17.5 3.1 5.4</x:v>
      </x:c>
      <x:c r="E286" s="10" t="str">
        <x:v>C12-L11</x:v>
      </x:c>
      <x:c r="F286" s="4" t="str">
        <x:v>数据的收集、整理与描述</x:v>
      </x:c>
      <x:c r="G286" s="4" t="str">
        <x:v>小结与复习题12</x:v>
      </x:c>
      <x:c r="H286" s="4" t="str">
        <x:v>数据的收集、整理与描述章末复习</x:v>
      </x:c>
      <x:c r="I286" s="14" t="str">
        <x:v>已安排</x:v>
      </x:c>
      <x:c r="J286" s="4" t="str">
        <x:v>以当前教材PDF为准；后续逐课引用时复核题号、图号与数据</x:v>
      </x:c>
    </x:row>
    <x:row r="287" ht="34" customHeight="1">
      <x:c r="A287" s="11" t="n">
        <x:v>186</x:v>
      </x:c>
      <x:c r="B287" s="11" t="n">
        <x:v>193</x:v>
      </x:c>
      <x:c r="C287" s="4" t="str">
        <x:v>节/小节</x:v>
      </x:c>
      <x:c r="D287" s="4" t="str">
        <x:v>22.2 18.0 13.6 15.9 16.7 10.2 2.0 4.9 5.2 12.0</x:v>
      </x:c>
      <x:c r="E287" s="10" t="str">
        <x:v>C12-L11</x:v>
      </x:c>
      <x:c r="F287" s="4" t="str">
        <x:v>数据的收集、整理与描述</x:v>
      </x:c>
      <x:c r="G287" s="4" t="str">
        <x:v>小结与复习题12</x:v>
      </x:c>
      <x:c r="H287" s="4" t="str">
        <x:v>数据的收集、整理与描述章末复习</x:v>
      </x:c>
      <x:c r="I287" s="14" t="str">
        <x:v>已安排</x:v>
      </x:c>
      <x:c r="J287" s="4" t="str">
        <x:v>以当前教材PDF为准；后续逐课引用时复核题号、图号与数据</x:v>
      </x:c>
    </x:row>
    <x:row r="288" ht="34" customHeight="1">
      <x:c r="A288" s="11" t="n">
        <x:v>186</x:v>
      </x:c>
      <x:c r="B288" s="11" t="n">
        <x:v>193</x:v>
      </x:c>
      <x:c r="C288" s="4" t="str">
        <x:v>节/小节</x:v>
      </x:c>
      <x:c r="D288" s="4" t="str">
        <x:v>12.5 13.8 3.5 5.7 4.8 7.1 6.2 5.9 3.4 8.9</x:v>
      </x:c>
      <x:c r="E288" s="10" t="str">
        <x:v>C12-L11</x:v>
      </x:c>
      <x:c r="F288" s="4" t="str">
        <x:v>数据的收集、整理与描述</x:v>
      </x:c>
      <x:c r="G288" s="4" t="str">
        <x:v>小结与复习题12</x:v>
      </x:c>
      <x:c r="H288" s="4" t="str">
        <x:v>数据的收集、整理与描述章末复习</x:v>
      </x:c>
      <x:c r="I288" s="14" t="str">
        <x:v>已安排</x:v>
      </x:c>
      <x:c r="J288" s="4" t="str">
        <x:v>以当前教材PDF为准；后续逐课引用时复核题号、图号与数据</x:v>
      </x:c>
    </x:row>
    <x:row r="289" ht="34" customHeight="1">
      <x:c r="A289" s="11" t="n">
        <x:v>186</x:v>
      </x:c>
      <x:c r="B289" s="11" t="n">
        <x:v>193</x:v>
      </x:c>
      <x:c r="C289" s="4" t="str">
        <x:v>节/小节</x:v>
      </x:c>
      <x:c r="D289" s="4" t="str">
        <x:v>2.4 14.4 4.2 6.4 6.8 7.3 5.5 9.7 8.3 19.0</x:v>
      </x:c>
      <x:c r="E289" s="10" t="str">
        <x:v>C12-L11</x:v>
      </x:c>
      <x:c r="F289" s="4" t="str">
        <x:v>数据的收集、整理与描述</x:v>
      </x:c>
      <x:c r="G289" s="4" t="str">
        <x:v>小结与复习题12</x:v>
      </x:c>
      <x:c r="H289" s="4" t="str">
        <x:v>数据的收集、整理与描述章末复习</x:v>
      </x:c>
      <x:c r="I289" s="14" t="str">
        <x:v>已安排</x:v>
      </x:c>
      <x:c r="J289" s="4" t="str">
        <x:v>以当前教材PDF为准；后续逐课引用时复核题号、图号与数据</x:v>
      </x:c>
    </x:row>
    <x:row r="290" ht="34" customHeight="1">
      <x:c r="A290" s="11" t="n">
        <x:v>186</x:v>
      </x:c>
      <x:c r="B290" s="11" t="n">
        <x:v>193</x:v>
      </x:c>
      <x:c r="C290" s="4" t="str">
        <x:v>节/小节</x:v>
      </x:c>
      <x:c r="D290" s="4" t="str">
        <x:v>7.1 8.1 7.3 7.1 7.8 7.6 7.6 7.4 6.9 7.2</x:v>
      </x:c>
      <x:c r="E290" s="10" t="str">
        <x:v>C12-L11</x:v>
      </x:c>
      <x:c r="F290" s="4" t="str">
        <x:v>数据的收集、整理与描述</x:v>
      </x:c>
      <x:c r="G290" s="4" t="str">
        <x:v>小结与复习题12</x:v>
      </x:c>
      <x:c r="H290" s="4" t="str">
        <x:v>数据的收集、整理与描述章末复习</x:v>
      </x:c>
      <x:c r="I290" s="14" t="str">
        <x:v>已安排</x:v>
      </x:c>
      <x:c r="J290" s="4" t="str">
        <x:v>以当前教材PDF为准；后续逐课引用时复核题号、图号与数据</x:v>
      </x:c>
    </x:row>
    <x:row r="291" ht="34" customHeight="1">
      <x:c r="A291" s="11" t="n">
        <x:v>186</x:v>
      </x:c>
      <x:c r="B291" s="11" t="n">
        <x:v>193</x:v>
      </x:c>
      <x:c r="C291" s="4" t="str">
        <x:v>节/小节</x:v>
      </x:c>
      <x:c r="D291" s="4" t="str">
        <x:v>7.2 7.9 7.6 7.5 7.0 7.2 7.9 7.7 7.6 7.4</x:v>
      </x:c>
      <x:c r="E291" s="10" t="str">
        <x:v>C12-L11</x:v>
      </x:c>
      <x:c r="F291" s="4" t="str">
        <x:v>数据的收集、整理与描述</x:v>
      </x:c>
      <x:c r="G291" s="4" t="str">
        <x:v>小结与复习题12</x:v>
      </x:c>
      <x:c r="H291" s="4" t="str">
        <x:v>数据的收集、整理与描述章末复习</x:v>
      </x:c>
      <x:c r="I291" s="14" t="str">
        <x:v>已安排</x:v>
      </x:c>
      <x:c r="J291" s="4" t="str">
        <x:v>以当前教材PDF为准；后续逐课引用时复核题号、图号与数据</x:v>
      </x:c>
    </x:row>
    <x:row r="292" ht="34" customHeight="1">
      <x:c r="A292" s="11" t="n">
        <x:v>186</x:v>
      </x:c>
      <x:c r="B292" s="11" t="n">
        <x:v>193</x:v>
      </x:c>
      <x:c r="C292" s="4" t="str">
        <x:v>节/小节</x:v>
      </x:c>
      <x:c r="D292" s="4" t="str">
        <x:v>7.4 7.5 7.4 8.3 8.0 7.6 7.4 7.6 7.5 7.9</x:v>
      </x:c>
      <x:c r="E292" s="10" t="str">
        <x:v>C12-L11</x:v>
      </x:c>
      <x:c r="F292" s="4" t="str">
        <x:v>数据的收集、整理与描述</x:v>
      </x:c>
      <x:c r="G292" s="4" t="str">
        <x:v>小结与复习题12</x:v>
      </x:c>
      <x:c r="H292" s="4" t="str">
        <x:v>数据的收集、整理与描述章末复习</x:v>
      </x:c>
      <x:c r="I292" s="14" t="str">
        <x:v>已安排</x:v>
      </x:c>
      <x:c r="J292" s="4" t="str">
        <x:v>以当前教材PDF为准；后续逐课引用时复核题号、图号与数据</x:v>
      </x:c>
    </x:row>
    <x:row r="293" ht="34" customHeight="1">
      <x:c r="A293" s="11" t="n">
        <x:v>187</x:v>
      </x:c>
      <x:c r="B293" s="11" t="n">
        <x:v>194</x:v>
      </x:c>
      <x:c r="C293" s="4" t="str">
        <x:v>正文/题目</x:v>
      </x:c>
      <x:c r="D293" s="4" t="str">
        <x:v>本页全部正文、图表与题目</x:v>
      </x:c>
      <x:c r="E293" s="10" t="str">
        <x:v>C12-L11</x:v>
      </x:c>
      <x:c r="F293" s="4" t="str">
        <x:v>数据的收集、整理与描述</x:v>
      </x:c>
      <x:c r="G293" s="4" t="str">
        <x:v>小结与复习题12</x:v>
      </x:c>
      <x:c r="H293" s="4" t="str">
        <x:v>数据的收集、整理与描述章末复习</x:v>
      </x:c>
      <x:c r="I293" s="14" t="str">
        <x:v>已安排</x:v>
      </x:c>
      <x:c r="J293" s="4" t="str">
        <x:v>以当前教材PDF为准；后续逐课引用时复核题号、图号与数据</x:v>
      </x:c>
    </x:row>
    <x:row r="294" ht="34" customHeight="1">
      <x:c r="A294" s="11" t="n">
        <x:v>188</x:v>
      </x:c>
      <x:c r="B294" s="11" t="n">
        <x:v>195</x:v>
      </x:c>
      <x:c r="C294" s="4" t="str">
        <x:v>整页覆盖</x:v>
      </x:c>
      <x:c r="D294" s="4" t="str">
        <x:v>本页全部正文、图表与题目</x:v>
      </x:c>
      <x:c r="E294" s="10" t="str">
        <x:v>C12-L12</x:v>
      </x:c>
      <x:c r="F294" s="4" t="str">
        <x:v>数据的收集、整理与描述</x:v>
      </x:c>
      <x:c r="G294" s="4" t="str">
        <x:v>综合与实践</x:v>
      </x:c>
      <x:c r="H294" s="4" t="str">
        <x:v>白昼时长规律的探究</x:v>
      </x:c>
      <x:c r="I294" s="14" t="str">
        <x:v>已安排</x:v>
      </x:c>
      <x:c r="J294" s="4" t="str">
        <x:v>以当前教材PDF为准；后续逐课引用时复核题号、图号与数据</x:v>
      </x:c>
    </x:row>
    <x:row r="295" ht="34" customHeight="1">
      <x:c r="A295" s="11" t="n">
        <x:v>188</x:v>
      </x:c>
      <x:c r="B295" s="11" t="n">
        <x:v>195</x:v>
      </x:c>
      <x:c r="C295" s="4" t="str">
        <x:v>教材栏目</x:v>
      </x:c>
      <x:c r="D295" s="4" t="str">
        <x:v>综合与实践</x:v>
      </x:c>
      <x:c r="E295" s="10" t="str">
        <x:v>C12-L12</x:v>
      </x:c>
      <x:c r="F295" s="4" t="str">
        <x:v>数据的收集、整理与描述</x:v>
      </x:c>
      <x:c r="G295" s="4" t="str">
        <x:v>综合与实践</x:v>
      </x:c>
      <x:c r="H295" s="4" t="str">
        <x:v>白昼时长规律的探究</x:v>
      </x:c>
      <x:c r="I295" s="14" t="str">
        <x:v>已安排</x:v>
      </x:c>
      <x:c r="J295" s="4" t="str">
        <x:v>以当前教材PDF为准；后续逐课引用时复核题号、图号与数据</x:v>
      </x:c>
    </x:row>
    <x:row r="296" ht="34" customHeight="1">
      <x:c r="A296" s="11" t="n">
        <x:v>188</x:v>
      </x:c>
      <x:c r="B296" s="11" t="n">
        <x:v>195</x:v>
      </x:c>
      <x:c r="C296" s="4" t="str">
        <x:v>教材栏目</x:v>
      </x:c>
      <x:c r="D296" s="4" t="str">
        <x:v>188综合与实践 白昼时长规律的探究</x:v>
      </x:c>
      <x:c r="E296" s="10" t="str">
        <x:v>C12-L12</x:v>
      </x:c>
      <x:c r="F296" s="4" t="str">
        <x:v>数据的收集、整理与描述</x:v>
      </x:c>
      <x:c r="G296" s="4" t="str">
        <x:v>综合与实践</x:v>
      </x:c>
      <x:c r="H296" s="4" t="str">
        <x:v>白昼时长规律的探究</x:v>
      </x:c>
      <x:c r="I296" s="14" t="str">
        <x:v>已安排</x:v>
      </x:c>
      <x:c r="J296" s="4" t="str">
        <x:v>以当前教材PDF为准；后续逐课引用时复核题号、图号与数据</x:v>
      </x:c>
    </x:row>
    <x:row r="297" ht="34" customHeight="1">
      <x:c r="A297" s="11" t="n">
        <x:v>189</x:v>
      </x:c>
      <x:c r="B297" s="11" t="n">
        <x:v>196</x:v>
      </x:c>
      <x:c r="C297" s="4" t="str">
        <x:v>整页覆盖</x:v>
      </x:c>
      <x:c r="D297" s="4" t="str">
        <x:v>本页全部正文、图表与题目</x:v>
      </x:c>
      <x:c r="E297" s="10" t="str">
        <x:v>C12-L12</x:v>
      </x:c>
      <x:c r="F297" s="4" t="str">
        <x:v>数据的收集、整理与描述</x:v>
      </x:c>
      <x:c r="G297" s="4" t="str">
        <x:v>综合与实践</x:v>
      </x:c>
      <x:c r="H297" s="4" t="str">
        <x:v>白昼时长规律的探究</x:v>
      </x:c>
      <x:c r="I297" s="14" t="str">
        <x:v>已安排</x:v>
      </x:c>
      <x:c r="J297" s="4" t="str">
        <x:v>以当前教材PDF为准；后续逐课引用时复核题号、图号与数据</x:v>
      </x:c>
    </x:row>
    <x:row r="298" ht="34" customHeight="1">
      <x:c r="A298" s="11" t="n">
        <x:v>189</x:v>
      </x:c>
      <x:c r="B298" s="11" t="n">
        <x:v>196</x:v>
      </x:c>
      <x:c r="C298" s="4" t="str">
        <x:v>教材栏目</x:v>
      </x:c>
      <x:c r="D298" s="4" t="str">
        <x:v>综合与实践 白昼时长规律的探究189</x:v>
      </x:c>
      <x:c r="E298" s="10" t="str">
        <x:v>C12-L12</x:v>
      </x:c>
      <x:c r="F298" s="4" t="str">
        <x:v>数据的收集、整理与描述</x:v>
      </x:c>
      <x:c r="G298" s="4" t="str">
        <x:v>综合与实践</x:v>
      </x:c>
      <x:c r="H298" s="4" t="str">
        <x:v>白昼时长规律的探究</x:v>
      </x:c>
      <x:c r="I298" s="14" t="str">
        <x:v>已安排</x:v>
      </x:c>
      <x:c r="J298" s="4" t="str">
        <x:v>以当前教材PDF为准；后续逐课引用时复核题号、图号与数据</x:v>
      </x:c>
    </x:row>
    <x:row r="299" ht="34" customHeight="1">
      <x:c r="A299" s="11" t="n">
        <x:v>190</x:v>
      </x:c>
      <x:c r="B299" s="11" t="n">
        <x:v>197</x:v>
      </x:c>
      <x:c r="C299" s="4" t="str">
        <x:v>整页覆盖</x:v>
      </x:c>
      <x:c r="D299" s="4" t="str">
        <x:v>本页全部正文、图表与题目</x:v>
      </x:c>
      <x:c r="E299" s="10" t="str">
        <x:v>C12-L12</x:v>
      </x:c>
      <x:c r="F299" s="4" t="str">
        <x:v>数据的收集、整理与描述</x:v>
      </x:c>
      <x:c r="G299" s="4" t="str">
        <x:v>综合与实践</x:v>
      </x:c>
      <x:c r="H299" s="4" t="str">
        <x:v>白昼时长规律的探究</x:v>
      </x:c>
      <x:c r="I299" s="14" t="str">
        <x:v>已安排</x:v>
      </x:c>
      <x:c r="J299" s="4" t="str">
        <x:v>以当前教材PDF为准；后续逐课引用时复核题号、图号与数据</x:v>
      </x:c>
    </x:row>
    <x:row r="300" ht="34" customHeight="1">
      <x:c r="A300" s="11" t="n">
        <x:v>190</x:v>
      </x:c>
      <x:c r="B300" s="11" t="n">
        <x:v>197</x:v>
      </x:c>
      <x:c r="C300" s="4" t="str">
        <x:v>教材栏目</x:v>
      </x:c>
      <x:c r="D300" s="4" t="str">
        <x:v>190综合与实践 白昼时长规律的探究</x:v>
      </x:c>
      <x:c r="E300" s="10" t="str">
        <x:v>C12-L12</x:v>
      </x:c>
      <x:c r="F300" s="4" t="str">
        <x:v>数据的收集、整理与描述</x:v>
      </x:c>
      <x:c r="G300" s="4" t="str">
        <x:v>综合与实践</x:v>
      </x:c>
      <x:c r="H300" s="4" t="str">
        <x:v>白昼时长规律的探究</x:v>
      </x:c>
      <x:c r="I300" s="14" t="str">
        <x:v>已安排</x:v>
      </x:c>
      <x:c r="J300" s="4" t="str">
        <x:v>以当前教材PDF为准；后续逐课引用时复核题号、图号与数据</x:v>
      </x:c>
    </x:row>
    <x:row r="301" ht="34" customHeight="1">
      <x:c r="A301" s="11" t="n">
        <x:v>191</x:v>
      </x:c>
      <x:c r="B301" s="11" t="n">
        <x:v>198</x:v>
      </x:c>
      <x:c r="C301" s="4" t="str">
        <x:v>整页覆盖</x:v>
      </x:c>
      <x:c r="D301" s="4" t="str">
        <x:v>本页全部正文、图表与题目</x:v>
      </x:c>
      <x:c r="E301" s="10" t="str">
        <x:v>C12-L12</x:v>
      </x:c>
      <x:c r="F301" s="4" t="str">
        <x:v>数据的收集、整理与描述</x:v>
      </x:c>
      <x:c r="G301" s="4" t="str">
        <x:v>综合与实践</x:v>
      </x:c>
      <x:c r="H301" s="4" t="str">
        <x:v>白昼时长规律的探究</x:v>
      </x:c>
      <x:c r="I301" s="14" t="str">
        <x:v>已安排</x:v>
      </x:c>
      <x:c r="J301" s="4" t="str">
        <x:v>以当前教材PDF为准；后续逐课引用时复核题号、图号与数据</x:v>
      </x:c>
    </x:row>
    <x:row r="302" ht="34" customHeight="1">
      <x:c r="A302" s="11" t="n">
        <x:v>191</x:v>
      </x:c>
      <x:c r="B302" s="11" t="n">
        <x:v>198</x:v>
      </x:c>
      <x:c r="C302" s="4" t="str">
        <x:v>教材栏目</x:v>
      </x:c>
      <x:c r="D302" s="4" t="str">
        <x:v>综合与实践 白昼时长规律的探究191</x:v>
      </x:c>
      <x:c r="E302" s="10" t="str">
        <x:v>C12-L12</x:v>
      </x:c>
      <x:c r="F302" s="4" t="str">
        <x:v>数据的收集、整理与描述</x:v>
      </x:c>
      <x:c r="G302" s="4" t="str">
        <x:v>综合与实践</x:v>
      </x:c>
      <x:c r="H302" s="4" t="str">
        <x:v>白昼时长规律的探究</x:v>
      </x:c>
      <x:c r="I302" s="14" t="str">
        <x:v>已安排</x:v>
      </x:c>
      <x:c r="J302" s="4" t="str">
        <x:v>以当前教材PDF为准；后续逐课引用时复核题号、图号与数据</x:v>
      </x:c>
    </x:row>
    <x:row r="303" ht="34" customHeight="1">
      <x:c r="A303" s="11" t="n">
        <x:v>192</x:v>
      </x:c>
      <x:c r="B303" s="11" t="n">
        <x:v>199</x:v>
      </x:c>
      <x:c r="C303" s="4" t="str">
        <x:v>整页覆盖</x:v>
      </x:c>
      <x:c r="D303" s="4" t="str">
        <x:v>本页全部正文、图表与题目</x:v>
      </x:c>
      <x:c r="E303" s="10" t="str">
        <x:v>C12-L12</x:v>
      </x:c>
      <x:c r="F303" s="4" t="str">
        <x:v>数据的收集、整理与描述</x:v>
      </x:c>
      <x:c r="G303" s="4" t="str">
        <x:v>综合与实践</x:v>
      </x:c>
      <x:c r="H303" s="4" t="str">
        <x:v>白昼时长规律的探究</x:v>
      </x:c>
      <x:c r="I303" s="14" t="str">
        <x:v>已安排</x:v>
      </x:c>
      <x:c r="J303" s="4" t="str">
        <x:v>以当前教材PDF为准；后续逐课引用时复核题号、图号与数据</x:v>
      </x:c>
    </x:row>
    <x:row r="304" ht="34" customHeight="1">
      <x:c r="A304" s="11" t="n">
        <x:v>192</x:v>
      </x:c>
      <x:c r="B304" s="11" t="n">
        <x:v>199</x:v>
      </x:c>
      <x:c r="C304" s="4" t="str">
        <x:v>教材栏目</x:v>
      </x:c>
      <x:c r="D304" s="4" t="str">
        <x:v>本次综合与实践活动需要团队协作.在班级中组成5~8人一组的研究小</x:v>
      </x:c>
      <x:c r="E304" s="10" t="str">
        <x:v>C12-L12</x:v>
      </x:c>
      <x:c r="F304" s="4" t="str">
        <x:v>数据的收集、整理与描述</x:v>
      </x:c>
      <x:c r="G304" s="4" t="str">
        <x:v>综合与实践</x:v>
      </x:c>
      <x:c r="H304" s="4" t="str">
        <x:v>白昼时长规律的探究</x:v>
      </x:c>
      <x:c r="I304" s="14" t="str">
        <x:v>已安排</x:v>
      </x:c>
      <x:c r="J304" s="4" t="str">
        <x:v>以当前教材PDF为准；后续逐课引用时复核题号、图号与数据</x:v>
      </x:c>
    </x:row>
    <x:row r="305" ht="34" customHeight="1">
      <x:c r="A305" s="11" t="n">
        <x:v>192</x:v>
      </x:c>
      <x:c r="B305" s="11" t="n">
        <x:v>199</x:v>
      </x:c>
      <x:c r="C305" s="4" t="str">
        <x:v>教材栏目</x:v>
      </x:c>
      <x:c r="D305" s="4" t="str">
        <x:v>和教师评价,完成本次综合与实践活动.</x:v>
      </x:c>
      <x:c r="E305" s="10" t="str">
        <x:v>C12-L12</x:v>
      </x:c>
      <x:c r="F305" s="4" t="str">
        <x:v>数据的收集、整理与描述</x:v>
      </x:c>
      <x:c r="G305" s="4" t="str">
        <x:v>综合与实践</x:v>
      </x:c>
      <x:c r="H305" s="4" t="str">
        <x:v>白昼时长规律的探究</x:v>
      </x:c>
      <x:c r="I305" s="14" t="str">
        <x:v>已安排</x:v>
      </x:c>
      <x:c r="J305" s="4" t="str">
        <x:v>以当前教材PDF为准；后续逐课引用时复核题号、图号与数据</x:v>
      </x:c>
    </x:row>
    <x:row r="306" ht="34" customHeight="1">
      <x:c r="A306" s="11" t="n">
        <x:v>192</x:v>
      </x:c>
      <x:c r="B306" s="11" t="n">
        <x:v>199</x:v>
      </x:c>
      <x:c r="C306" s="4" t="str">
        <x:v>教材栏目</x:v>
      </x:c>
      <x:c r="D306" s="4" t="str">
        <x:v>192综合与实践 白昼时长规律的探究</x:v>
      </x:c>
      <x:c r="E306" s="10" t="str">
        <x:v>C12-L12</x:v>
      </x:c>
      <x:c r="F306" s="4" t="str">
        <x:v>数据的收集、整理与描述</x:v>
      </x:c>
      <x:c r="G306" s="4" t="str">
        <x:v>综合与实践</x:v>
      </x:c>
      <x:c r="H306" s="4" t="str">
        <x:v>白昼时长规律的探究</x:v>
      </x:c>
      <x:c r="I306" s="14" t="str">
        <x:v>已安排</x:v>
      </x:c>
      <x:c r="J306" s="4" t="str">
        <x:v>以当前教材PDF为准；后续逐课引用时复核题号、图号与数据</x:v>
      </x:c>
    </x:row>
  </x:sheetData>
  <x:pageMargins left="0.7" right="0.7" top="0.75" bottom="0.75" header="0.3" footer="0.3"/>
  <x:tableParts count="1">
    <x:tablePart xmlns:r="http://schemas.openxmlformats.org/officeDocument/2006/relationships" r:id="R3ba531fdea4949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14" hidden="0" customWidth="1"/>
    <x:col min="4" max="4" width="12" hidden="0" customWidth="1"/>
    <x:col min="5" max="5" width="18" hidden="0" customWidth="1"/>
    <x:col min="6" max="6" width="14" hidden="0" customWidth="1"/>
    <x:col min="7" max="7" width="20" hidden="0" customWidth="1"/>
  </x:cols>
  <x:sheetData>
    <x:row r="1" ht="39.599998474121094" hidden="0" customHeight="1">
      <x:c r="A1" s="9" t="str">
        <x:v>章编号</x:v>
      </x:c>
      <x:c r="B1" s="9" t="str">
        <x:v>章</x:v>
      </x:c>
      <x:c r="C1" s="9" t="str">
        <x:v>教材页码</x:v>
      </x:c>
      <x:c r="D1" s="9" t="str">
        <x:v>课时数</x:v>
      </x:c>
      <x:c r="E1" s="9" t="str">
        <x:v>需图形/图表课时</x:v>
      </x:c>
      <x:c r="F1" s="9" t="str">
        <x:v>探究课时</x:v>
      </x:c>
      <x:c r="G1" s="9" t="str">
        <x:v>活动/复习/综合课</x:v>
      </x:c>
    </x:row>
    <x:row r="2" ht="36" hidden="0" customHeight="1">
      <x:c r="A2" s="4" t="str">
        <x:v>C07</x:v>
      </x:c>
      <x:c r="B2" s="4" t="str">
        <x:v>第7章 相交线与平行线</x:v>
      </x:c>
      <x:c r="C2" s="4" t="str">
        <x:v>1—38</x:v>
      </x:c>
      <x:c r="D2" s="4" t="n">
        <x:f>COUNTIF('课时清单'!$B$2:$B$60,B2)</x:f>
        <x:v>13</x:v>
      </x:c>
      <x:c r="E2" s="4" t="n">
        <x:f>COUNTIFS('课时清单'!$B$2:$B$60,B2,'课时清单'!$Q$2:$Q$60,"是")</x:f>
        <x:v>13</x:v>
      </x:c>
      <x:c r="F2" s="4" t="n">
        <x:f>COUNTIFS('课时清单'!$B$2:$B$60,B2,'课时清单'!$R$2:$R$60,"是")</x:f>
        <x:v>11</x:v>
      </x:c>
      <x:c r="G2" s="4" t="n">
        <x:f>D2-COUNTIFS('课时清单'!$B$2:$B$60,B2,'课时清单'!$E$2:$E$60,"new_lesson")</x:f>
        <x:v>4</x:v>
      </x:c>
    </x:row>
    <x:row r="3" ht="15" hidden="0" customHeight="1">
      <x:c r="A3" s="4" t="str">
        <x:v>C08</x:v>
      </x:c>
      <x:c r="B3" s="4" t="str">
        <x:v>第8章 实数</x:v>
      </x:c>
      <x:c r="C3" s="4" t="str">
        <x:v>39—62</x:v>
      </x:c>
      <x:c r="D3" s="4" t="n">
        <x:f>COUNTIF('课时清单'!$B$2:$B$60,B3)</x:f>
        <x:v>8</x:v>
      </x:c>
      <x:c r="E3" s="4" t="n">
        <x:f>COUNTIFS('课时清单'!$B$2:$B$60,B3,'课时清单'!$Q$2:$Q$60,"是")</x:f>
        <x:v>3</x:v>
      </x:c>
      <x:c r="F3" s="4" t="n">
        <x:f>COUNTIFS('课时清单'!$B$2:$B$60,B3,'课时清单'!$R$2:$R$60,"是")</x:f>
        <x:v>7</x:v>
      </x:c>
      <x:c r="G3" s="4" t="n">
        <x:f>D3-COUNTIFS('课时清单'!$B$2:$B$60,B3,'课时清单'!$E$2:$E$60,"new_lesson")</x:f>
        <x:v>2</x:v>
      </x:c>
    </x:row>
    <x:row r="4" ht="36" hidden="0" customHeight="1">
      <x:c r="A4" s="4" t="str">
        <x:v>C09</x:v>
      </x:c>
      <x:c r="B4" s="4" t="str">
        <x:v>第9章 平面直角坐标系</x:v>
      </x:c>
      <x:c r="C4" s="4" t="str">
        <x:v>63—86</x:v>
      </x:c>
      <x:c r="D4" s="4" t="n">
        <x:f>COUNTIF('课时清单'!$B$2:$B$60,B4)</x:f>
        <x:v>7</x:v>
      </x:c>
      <x:c r="E4" s="4" t="n">
        <x:f>COUNTIFS('课时清单'!$B$2:$B$60,B4,'课时清单'!$Q$2:$Q$60,"是")</x:f>
        <x:v>7</x:v>
      </x:c>
      <x:c r="F4" s="4" t="n">
        <x:f>COUNTIFS('课时清单'!$B$2:$B$60,B4,'课时清单'!$R$2:$R$60,"是")</x:f>
        <x:v>6</x:v>
      </x:c>
      <x:c r="G4" s="4" t="n">
        <x:f>D4-COUNTIFS('课时清单'!$B$2:$B$60,B4,'课时清单'!$E$2:$E$60,"new_lesson")</x:f>
        <x:v>2</x:v>
      </x:c>
    </x:row>
    <x:row r="5" ht="36" hidden="0" customHeight="1">
      <x:c r="A5" s="4" t="str">
        <x:v>C10</x:v>
      </x:c>
      <x:c r="B5" s="4" t="str">
        <x:v>第10章 二元一次方程组</x:v>
      </x:c>
      <x:c r="C5" s="4" t="str">
        <x:v>87—119</x:v>
      </x:c>
      <x:c r="D5" s="4" t="n">
        <x:f>COUNTIF('课时清单'!$B$2:$B$60,B5)</x:f>
        <x:v>10</x:v>
      </x:c>
      <x:c r="E5" s="4" t="n">
        <x:f>COUNTIFS('课时清单'!$B$2:$B$60,B5,'课时清单'!$Q$2:$Q$60,"是")</x:f>
        <x:v>4</x:v>
      </x:c>
      <x:c r="F5" s="4" t="n">
        <x:f>COUNTIFS('课时清单'!$B$2:$B$60,B5,'课时清单'!$R$2:$R$60,"是")</x:f>
        <x:v>9</x:v>
      </x:c>
      <x:c r="G5" s="4" t="n">
        <x:f>D5-COUNTIFS('课时清单'!$B$2:$B$60,B5,'课时清单'!$E$2:$E$60,"new_lesson")</x:f>
        <x:v>3</x:v>
      </x:c>
    </x:row>
    <x:row r="6" ht="36" hidden="0" customHeight="1">
      <x:c r="A6" s="4" t="str">
        <x:v>C11</x:v>
      </x:c>
      <x:c r="B6" s="4" t="str">
        <x:v>第11章 不等式与不等式组</x:v>
      </x:c>
      <x:c r="C6" s="4" t="str">
        <x:v>120—149</x:v>
      </x:c>
      <x:c r="D6" s="4" t="n">
        <x:f>COUNTIF('课时清单'!$B$2:$B$60,B6)</x:f>
        <x:v>9</x:v>
      </x:c>
      <x:c r="E6" s="4" t="n">
        <x:f>COUNTIFS('课时清单'!$B$2:$B$60,B6,'课时清单'!$Q$2:$Q$60,"是")</x:f>
        <x:v>8</x:v>
      </x:c>
      <x:c r="F6" s="4" t="n">
        <x:f>COUNTIFS('课时清单'!$B$2:$B$60,B6,'课时清单'!$R$2:$R$60,"是")</x:f>
        <x:v>8</x:v>
      </x:c>
      <x:c r="G6" s="4" t="n">
        <x:f>D6-COUNTIFS('课时清单'!$B$2:$B$60,B6,'课时清单'!$E$2:$E$60,"new_lesson")</x:f>
        <x:v>3</x:v>
      </x:c>
    </x:row>
    <x:row r="7" ht="48" hidden="0" customHeight="1">
      <x:c r="A7" s="4" t="str">
        <x:v>C12</x:v>
      </x:c>
      <x:c r="B7" s="4" t="str">
        <x:v>第12章 数据的收集、整理与描述</x:v>
      </x:c>
      <x:c r="C7" s="4" t="str">
        <x:v>150—192</x:v>
      </x:c>
      <x:c r="D7" s="4" t="n">
        <x:f>COUNTIF('课时清单'!$B$2:$B$60,B7)</x:f>
        <x:v>12</x:v>
      </x:c>
      <x:c r="E7" s="4" t="n">
        <x:f>COUNTIFS('课时清单'!$B$2:$B$60,B7,'课时清单'!$Q$2:$Q$60,"是")</x:f>
        <x:v>12</x:v>
      </x:c>
      <x:c r="F7" s="4" t="n">
        <x:f>COUNTIFS('课时清单'!$B$2:$B$60,B7,'课时清单'!$R$2:$R$60,"是")</x:f>
        <x:v>10</x:v>
      </x:c>
      <x:c r="G7" s="4" t="n">
        <x:f>D7-COUNTIFS('课时清单'!$B$2:$B$60,B7,'课时清单'!$E$2:$E$60,"new_lesson")</x:f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47da9142cde341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18" hidden="0" customWidth="1"/>
    <x:col min="4" max="4" width="18" hidden="0" customWidth="1"/>
  </x:cols>
  <x:sheetData>
    <x:row r="1" ht="19.200000762939453" hidden="0" customHeight="1">
      <x:c r="A1" s="18" t="str">
        <x:v>教材覆盖矩阵检查说明</x:v>
      </x:c>
      <x:c r="B1" s="18" t="str">
        <x:v>教材覆盖矩阵检查说明</x:v>
      </x:c>
      <x:c r="C1" s="18" t="str">
        <x:v>教材覆盖矩阵检查说明</x:v>
      </x:c>
      <x:c r="D1" s="18" t="str">
        <x:v>教材覆盖矩阵检查说明</x:v>
      </x:c>
    </x:row>
    <x:row r="2"/>
    <x:row r="3" ht="26.399999618530273" hidden="0" customHeight="1">
      <x:c r="A3" s="9" t="str">
        <x:v>检查项</x:v>
      </x:c>
      <x:c r="B3" s="9" t="str">
        <x:v>公式/结果</x:v>
      </x:c>
      <x:c r="C3" s="9" t="str">
        <x:v>目标值</x:v>
      </x:c>
      <x:c r="D3" s="9" t="str">
        <x:v>结论</x:v>
      </x:c>
    </x:row>
    <x:row r="4" ht="15" hidden="0" customHeight="1">
      <x:c r="A4" s="4" t="str">
        <x:v>课时总数</x:v>
      </x:c>
      <x:c r="B4" s="4" t="n">
        <x:f>COUNTA('课时清单'!$A$2:$A$60)</x:f>
        <x:v>59</x:v>
      </x:c>
      <x:c r="C4" s="4" t="n">
        <x:v>59</x:v>
      </x:c>
      <x:c r="D4" s="14" t="str">
        <x:f>IF(B4=C4,"通过","复核")</x:f>
        <x:v>通过</x:v>
      </x:c>
    </x:row>
    <x:row r="5" ht="24" hidden="0" customHeight="1">
      <x:c r="A5" s="4" t="str">
        <x:v>教材起始印刷页</x:v>
      </x:c>
      <x:c r="B5" s="4" t="n">
        <x:f>MIN('教材覆盖'!$A$2:$A$306)</x:f>
        <x:v>1</x:v>
      </x:c>
      <x:c r="C5" s="4" t="n">
        <x:v>1</x:v>
      </x:c>
      <x:c r="D5" s="14" t="str">
        <x:f>IF(B5=C5,"通过","复核")</x:f>
        <x:v>通过</x:v>
      </x:c>
    </x:row>
    <x:row r="6" ht="24" hidden="0" customHeight="1">
      <x:c r="A6" s="4" t="str">
        <x:v>教材结束印刷页</x:v>
      </x:c>
      <x:c r="B6" s="4" t="n">
        <x:f>MAX('教材覆盖'!$A$2:$A$306)</x:f>
        <x:v>192</x:v>
      </x:c>
      <x:c r="C6" s="4" t="n">
        <x:v>192</x:v>
      </x:c>
      <x:c r="D6" s="14" t="str">
        <x:f>IF(B6=C6,"通过","复核")</x:f>
        <x:v>通过</x:v>
      </x:c>
    </x:row>
    <x:row r="7" ht="24" hidden="0" customHeight="1">
      <x:c r="A7" s="4" t="str">
        <x:v>覆盖记录数</x:v>
      </x:c>
      <x:c r="B7" s="4" t="n">
        <x:f>COUNTA('教材覆盖'!$A$2:$A$306)</x:f>
        <x:v>305</x:v>
      </x:c>
      <x:c r="C7" s="4" t="n">
        <x:v>305</x:v>
      </x:c>
      <x:c r="D7" s="14" t="str">
        <x:f>IF(B7=C7,"通过","复核")</x:f>
        <x:v>通过</x:v>
      </x:c>
    </x:row>
    <x:row r="8" ht="24" hidden="0" customHeight="1">
      <x:c r="A8" s="4" t="str">
        <x:v>全部记录已安排</x:v>
      </x:c>
      <x:c r="B8" s="4" t="n">
        <x:f>COUNTIF('教材覆盖'!$I$2:$I$306,"已安排")</x:f>
        <x:v>305</x:v>
      </x:c>
      <x:c r="C8" s="4" t="n">
        <x:v>305</x:v>
      </x:c>
      <x:c r="D8" s="14" t="str">
        <x:f>IF(B8=C8,"通过","复核")</x:f>
        <x:v>通过</x:v>
      </x:c>
    </x:row>
    <x:row r="9" ht="60" hidden="0" customHeight="1">
      <x:c r="A9" s="4" t="str">
        <x:v>教材来源</x:v>
      </x:c>
      <x:c r="B9" s="4" t="str">
        <x:v>义务教育教科书_数学七年级下册_标准PDF.pdf</x:v>
      </x:c>
      <x:c r="C9" s="4" t="str">
        <x:v>当前根目录PDF</x:v>
      </x:c>
      <x:c r="D9" s="4" t="str">
        <x:v>唯一权威来源</x:v>
      </x:c>
    </x:row>
    <x:row r="10" ht="36" hidden="0" customHeight="1">
      <x:c r="A10" s="4" t="str">
        <x:v>页码关系</x:v>
      </x:c>
      <x:c r="B10" s="4" t="str">
        <x:v>PDF物理页=教材印刷页+7</x:v>
      </x:c>
      <x:c r="C10" s="4" t="str">
        <x:v>+7</x:v>
      </x:c>
      <x:c r="D10" s="4" t="str">
        <x:v>已核对</x:v>
      </x:c>
    </x:row>
    <x:row r="11"/>
    <x:row r="12" ht="60" hidden="0" customHeight="1">
      <x:c r="A12" s="23" t="str">
        <x:v>说明：‘教材覆盖’表每个教材印刷页至少有一条‘整页覆盖’记录，并额外登记文本层可识别的节/小节、例题、练习、习题和专栏。后续逐课制作时仍需回看教材图形、题号和数据，不能只依赖文本提取。</x:v>
      </x:c>
      <x:c r="B12" s="23"/>
      <x:c r="C12" s="23"/>
      <x:c r="D12" s="23"/>
    </x:row>
    <x:row r="13" ht="24" hidden="0" customHeight="1">
      <x:c r="A13" s="23" t="str">
        <x:v>本矩阵只使用项目根目录当前教材PDF；未使用网络教材目录或同名替代文件。</x:v>
      </x:c>
      <x:c r="B13" s="23"/>
      <x:c r="C13" s="23"/>
      <x:c r="D13" s="23"/>
    </x:row>
    <x:row r="14" ht="24" hidden="0" customHeight="1">
      <x:c r="A14" s="23" t="str">
        <x:v>所有课时各为1个45分钟课时；活动、复习与综合实践按原项目规则单列。</x:v>
      </x:c>
      <x:c r="B14" s="23"/>
      <x:c r="C14" s="23"/>
      <x:c r="D14" s="23"/>
    </x:row>
  </x:sheetData>
  <x:mergeCells>
    <x:mergeCell ref="A1:D1"/>
    <x:mergeCell ref="A12:D12"/>
    <x:mergeCell ref="A13:D13"/>
    <x:mergeCell ref="A14:D14"/>
  </x:mergeCells>
  <x:pageMargins left="0.7" right="0.7" top="0.75" bottom="0.75" header="0.3" footer="0.3"/>
</x:worksheet>
</file>